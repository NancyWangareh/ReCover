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Product_Records" sheetId="2" state="visible" r:id="rId4"/>
    <sheet name="Document_Tracker" sheetId="3" state="visible" r:id="rId5"/>
    <sheet name="Insurer_Questions" sheetId="4" state="visible" r:id="rId6"/>
    <sheet name="Trader_Questions" sheetId="5" state="visible" r:id="rId7"/>
    <sheet name="Loss_Scenarios" sheetId="6" state="visible" r:id="rId8"/>
    <sheet name="Affordability" sheetId="7" state="visible" r:id="rId9"/>
    <sheet name="Work_Plan" sheetId="8" state="visible" r:id="rId10"/>
    <sheet name="Source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<sst xmlns="http://schemas.openxmlformats.org/spreadsheetml/2006/main" count="637" uniqueCount="480">
  <si>
    <t xml:space="preserve">Requirements and Data Collection – Microinsurance for Mitumba Traders</t>
  </si>
  <si>
    <t xml:space="preserve">Prepared 20 Oct 2026 for task due 23 Oct 2026 (assignee: David Guchu)</t>
  </si>
  <si>
    <t xml:space="preserve">How to use this workbook</t>
  </si>
  <si>
    <t xml:space="preserve">1. Product_Records: one row per product. Rows are pre-filled ONLY from public news/press sources and are marked UNVERIFIED. Replace with policy-wording facts as documents arrive.</t>
  </si>
  <si>
    <t xml:space="preserve">2. Document_Tracker: checklist of documents to obtain and their status.</t>
  </si>
  <si>
    <t xml:space="preserve">3. Insurer_Questions: questions to put to Jubilee, Britam Connect and CIC Impact (publishing permission, update frequency, etc.). Record answers in the yellow cells.</t>
  </si>
  <si>
    <t xml:space="preserve">4. Trader_Questions: the questions the chatbot must answer, grouped by category, with draft Swahili.</t>
  </si>
  <si>
    <t xml:space="preserve">5. Loss_Scenarios: how mitumba trader losses map to product types, with gaps clearly marked.</t>
  </si>
  <si>
    <t xml:space="preserve">6. Affordability: converts any premium to weekly / monthly / annual equivalents and checks it against a trader's budget.</t>
  </si>
  <si>
    <t xml:space="preserve">7. Work_Plan: 20–23 Oct schedule and the three Notion sub-tasks.</t>
  </si>
  <si>
    <t xml:space="preserve">8. Sources: every URL used, and what it supports.</t>
  </si>
  <si>
    <t xml:space="preserve">Colour legend</t>
  </si>
  <si>
    <t xml:space="preserve">Yellow cell = needs to be filled in / confirmed.  Blue text = input value you can change.  Black text = formula (do not overwrite).</t>
  </si>
  <si>
    <t xml:space="preserve">Important cautions</t>
  </si>
  <si>
    <t xml:space="preserve">• Nothing in Product_Records has been confirmed against a policy document or by an insurer. Public news figures (e.g. 'premiums from KES 20') are starting points, not facts for the chatbot.</t>
  </si>
  <si>
    <t xml:space="preserve">• Jubilee's Imarisha Jamii details come from 2018 launch coverage and may be out of date. Confirm the current product, underwriter and terms.</t>
  </si>
  <si>
    <t xml:space="preserve">• No product found so far is confirmed to cover mitumba stock against fire or theft. Do not tell traders such cover exists until an insurer confirms it in writing.</t>
  </si>
  <si>
    <t xml:space="preserve">• Each fact the chatbot uses should carry: source, document date, date retrieved, and a confidence label (Policy wording / Brochure / Insurer confirmed / News – unverified).</t>
  </si>
  <si>
    <t xml:space="preserve">Product records (one row per product)</t>
  </si>
  <si>
    <t xml:space="preserve">Pre-filled from public news only. Confidence = News – unverified until a policy document or insurer confirms.</t>
  </si>
  <si>
    <t xml:space="preserve">ID</t>
  </si>
  <si>
    <t xml:space="preserve">Provider (brand)</t>
  </si>
  <si>
    <t xml:space="preserve">Underwriter / entity (confirm)</t>
  </si>
  <si>
    <t xml:space="preserve">Product name</t>
  </si>
  <si>
    <t xml:space="preserve">Product type</t>
  </si>
  <si>
    <t xml:space="preserve">Target customers</t>
  </si>
  <si>
    <t xml:space="preserve">Coverage / benefits</t>
  </si>
  <si>
    <t xml:space="preserve">Sum insured / benefit amounts</t>
  </si>
  <si>
    <t xml:space="preserve">Premium (KES)</t>
  </si>
  <si>
    <t xml:space="preserve">Premium basis / frequency</t>
  </si>
  <si>
    <t xml:space="preserve">Waiting period</t>
  </si>
  <si>
    <t xml:space="preserve">Eligibility (age etc.)</t>
  </si>
  <si>
    <t xml:space="preserve">Exclusions</t>
  </si>
  <si>
    <t xml:space="preserve">How to buy / pay</t>
  </si>
  <si>
    <t xml:space="preserve">Claims process &amp; documents</t>
  </si>
  <si>
    <t xml:space="preserve">Provider contact</t>
  </si>
  <si>
    <t xml:space="preserve">Source URL</t>
  </si>
  <si>
    <t xml:space="preserve">Source document date</t>
  </si>
  <si>
    <t xml:space="preserve">Date retrieved</t>
  </si>
  <si>
    <t xml:space="preserve">Confidence</t>
  </si>
  <si>
    <t xml:space="preserve">Publishable? (Y/N/pending)</t>
  </si>
  <si>
    <t xml:space="preserve">Update frequency (per insurer)</t>
  </si>
  <si>
    <t xml:space="preserve">Verified by / date</t>
  </si>
  <si>
    <t xml:space="preserve">Notes / open questions</t>
  </si>
  <si>
    <t xml:space="preserve">P01</t>
  </si>
  <si>
    <t xml:space="preserve">Jubilee</t>
  </si>
  <si>
    <t xml:space="preserve">Confirm (Jubilee Insurance / partner)</t>
  </si>
  <si>
    <t xml:space="preserve">Imarisha Jamii</t>
  </si>
  <si>
    <t xml:space="preserve">Health &amp; life micro bundle</t>
  </si>
  <si>
    <t xml:space="preserve">Low-income earners; group, family and chama options</t>
  </si>
  <si>
    <t xml:space="preserve">Hospital cash (hospitalised 3+ nights), death and disability cover; mobile access (per 2018 launch coverage)</t>
  </si>
  <si>
    <t xml:space="preserve">Not stated in source</t>
  </si>
  <si>
    <t xml:space="preserve">From KES 20 (headline figure)</t>
  </si>
  <si>
    <t xml:space="preserve">Not stated – confirm (daily/weekly/monthly?)</t>
  </si>
  <si>
    <t xml:space="preserve">Not stated</t>
  </si>
  <si>
    <t xml:space="preserve">Ages 18–75 (per 2018 coverage)</t>
  </si>
  <si>
    <t xml:space="preserve">2018 coverage says 'no exclusions' – MUST verify against policy wording</t>
  </si>
  <si>
    <t xml:space="preserve">Mobile phone; launched with Bluewave Microfinance</t>
  </si>
  <si>
    <t xml:space="preserve">https://www.capitalfm.co.ke/business/2018/06/jubilee-insurance-taps-microinsurance-premiums-low-sh20/</t>
  </si>
  <si>
    <t xml:space="preserve">2018-06-20</t>
  </si>
  <si>
    <t xml:space="preserve">2026-10-20</t>
  </si>
  <si>
    <t xml:space="preserve">News – unverified (2018, possibly outdated)</t>
  </si>
  <si>
    <t xml:space="preserve">Confirm product still sold, current premium table, benefit amounts and exclusions.</t>
  </si>
  <si>
    <t xml:space="preserve">P02</t>
  </si>
  <si>
    <t xml:space="preserve">Britam</t>
  </si>
  <si>
    <t xml:space="preserve">Britam Microinsurance / Britam Connect (confirm)</t>
  </si>
  <si>
    <t xml:space="preserve">Bima ya Wafanyikazi</t>
  </si>
  <si>
    <t xml:space="preserve">Medical cover (informal workers)</t>
  </si>
  <si>
    <t xml:space="preserve">Domestic workers and informal-sector workers; buyable by individuals, employers or worker groups</t>
  </si>
  <si>
    <t xml:space="preserve">Medical cover via Britam network of 600+ health facilities</t>
  </si>
  <si>
    <t xml:space="preserve">About 336 per month (headline); from about 11 per day</t>
  </si>
  <si>
    <t xml:space="preserve">Monthly / daily equivalent (per news headline)</t>
  </si>
  <si>
    <t xml:space="preserve">Via Britam Connect with Minet Kenya as distribution partner</t>
  </si>
  <si>
    <t xml:space="preserve">https://www.businessdailyafrica.com/bd/corporate/companies/britam-courts-informal-workers-with-monthly-sh336-medical-cover-5540306</t>
  </si>
  <si>
    <t xml:space="preserve">Not captured – confirm</t>
  </si>
  <si>
    <t xml:space="preserve">News – unverified</t>
  </si>
  <si>
    <t xml:space="preserve">Check if street/market traders qualify as 'informal sector' and whether group enrolment through a market association is possible.</t>
  </si>
  <si>
    <t xml:space="preserve">P03</t>
  </si>
  <si>
    <t xml:space="preserve">Britam (confirm)</t>
  </si>
  <si>
    <t xml:space="preserve">Life Bila Noma (with Telkom)</t>
  </si>
  <si>
    <t xml:space="preserve">Personal accident + funeral (bundled with airtime/data)</t>
  </si>
  <si>
    <t xml:space="preserve">Small-scale traders (Telkom subscribers)</t>
  </si>
  <si>
    <t xml:space="preserve">Accident medical expenses; funeral / last-expense cover on death</t>
  </si>
  <si>
    <t xml:space="preserve">Bundled with telecom products – confirm</t>
  </si>
  <si>
    <t xml:space="preserve">Telkom mobile bundles</t>
  </si>
  <si>
    <t xml:space="preserve">https://www.businessdailyafrica.com/bd/corporate/companies/telkom-britam-offer-traders-bundles-insurance-cover-3655304</t>
  </si>
  <si>
    <t xml:space="preserve">Not captured (older article) – confirm</t>
  </si>
  <si>
    <t xml:space="preserve">News – unverified (older)</t>
  </si>
  <si>
    <t xml:space="preserve">Confirm product is still on sale.</t>
  </si>
  <si>
    <t xml:space="preserve">P04</t>
  </si>
  <si>
    <t xml:space="preserve">CIC</t>
  </si>
  <si>
    <t xml:space="preserve">CIC Impact (CIC Microinsurance subsidiary, launched 30 Jul 2026)</t>
  </si>
  <si>
    <t xml:space="preserve">MSME &amp; Commercial Risk (name TBC)</t>
  </si>
  <si>
    <t xml:space="preserve">Small-business operational protection</t>
  </si>
  <si>
    <t xml:space="preserve">MSMEs / small enterprise owners</t>
  </si>
  <si>
    <t xml:space="preserve">'Essential operational protection for small businesses' – scope not specified</t>
  </si>
  <si>
    <t xml:space="preserve">Annual premiums start below 3,000 (applies to the portfolio generally)</t>
  </si>
  <si>
    <t xml:space="preserve">Annual (portfolio headline)</t>
  </si>
  <si>
    <t xml:space="preserve">Via digital channels, SACCOs, traders, employers, mobile platforms</t>
  </si>
  <si>
    <t xml:space="preserve">https://hapakenya.com/2026/07/30/cic-insurance-launches-microinsurance-arm-to-safeguard-kenyas-informal-sector/</t>
  </si>
  <si>
    <t xml:space="preserve">2026-07-30</t>
  </si>
  <si>
    <t xml:space="preserve">HIGH PRIORITY: ask whether this covers stock, fire and theft for market traders; get product name and wording.</t>
  </si>
  <si>
    <t xml:space="preserve">P05</t>
  </si>
  <si>
    <t xml:space="preserve">CIC Impact</t>
  </si>
  <si>
    <t xml:space="preserve">Specialized Personal Accident</t>
  </si>
  <si>
    <t xml:space="preserve">Personal accident</t>
  </si>
  <si>
    <t xml:space="preserve">Boda boda riders, security guards, blue-collar workers, students</t>
  </si>
  <si>
    <t xml:space="preserve">Personal accident cover</t>
  </si>
  <si>
    <t xml:space="preserve">Below 3,000 annual (portfolio headline)</t>
  </si>
  <si>
    <t xml:space="preserve">Annual</t>
  </si>
  <si>
    <t xml:space="preserve">As above</t>
  </si>
  <si>
    <t xml:space="preserve">Ask whether traders can be covered under this or a similar accident product.</t>
  </si>
  <si>
    <t xml:space="preserve">P06</t>
  </si>
  <si>
    <t xml:space="preserve">Community &amp; Health Safety Nets (group funeral, group medical, daily hospital cash, micro-pension)</t>
  </si>
  <si>
    <t xml:space="preserve">Health / funeral / pension (group)</t>
  </si>
  <si>
    <t xml:space="preserve">Groups (SACCOs, chamas, associations)</t>
  </si>
  <si>
    <t xml:space="preserve">Group funeral, group medical cover, daily hospital cash, micro-pensions</t>
  </si>
  <si>
    <t xml:space="preserve">Group enrolment</t>
  </si>
  <si>
    <t xml:space="preserve">Relevant if a mitumba traders' association can enrol as a group.</t>
  </si>
  <si>
    <t xml:space="preserve">P07</t>
  </si>
  <si>
    <t xml:space="preserve">Jubilee (pipeline)</t>
  </si>
  <si>
    <t xml:space="preserve">Jubilee Group with FSD Africa and 7 insurtechs</t>
  </si>
  <si>
    <t xml:space="preserve">SME protection pilots (not yet products)</t>
  </si>
  <si>
    <t xml:space="preserve">Pilot – SME protection, low-cost distribution, health &amp; wellness links</t>
  </si>
  <si>
    <t xml:space="preserve">SMEs, informal workers, farmers, low-income households</t>
  </si>
  <si>
    <t xml:space="preserve">To be defined after an 8-week co-creation programme</t>
  </si>
  <si>
    <t xml:space="preserve">Not applicable</t>
  </si>
  <si>
    <t xml:space="preserve">Pilots start November 2026</t>
  </si>
  <si>
    <t xml:space="preserve">https://capitalfm.africa/jubilee-fsd-africa-partner-with-seven-insurtechs-to-expand-insurance-access/</t>
  </si>
  <si>
    <t xml:space="preserve">2026-10-07</t>
  </si>
  <si>
    <t xml:space="preserve">Ask Jubilee whether mitumba traders can join the November pilots.</t>
  </si>
  <si>
    <t xml:space="preserve">EXAMPLE</t>
  </si>
  <si>
    <t xml:space="preserve">Provider</t>
  </si>
  <si>
    <t xml:space="preserve">Underwriter</t>
  </si>
  <si>
    <t xml:space="preserve">e.g. Hospital cash</t>
  </si>
  <si>
    <t xml:space="preserve">e.g. Market traders</t>
  </si>
  <si>
    <t xml:space="preserve">e.g. KES 1,000 per night in hospital</t>
  </si>
  <si>
    <t xml:space="preserve">e.g. KES 1,000/night, max 30 nights</t>
  </si>
  <si>
    <t xml:space="preserve">e.g. 100</t>
  </si>
  <si>
    <t xml:space="preserve">e.g. Monthly</t>
  </si>
  <si>
    <t xml:space="preserve">e.g. 30 days</t>
  </si>
  <si>
    <t xml:space="preserve">e.g. 18–65</t>
  </si>
  <si>
    <t xml:space="preserve">e.g. Pre-existing conditions in first 12 months</t>
  </si>
  <si>
    <t xml:space="preserve">e.g. M-Pesa paybill 000000</t>
  </si>
  <si>
    <t xml:space="preserve">e.g. Claim form + discharge summary within 30 days</t>
  </si>
  <si>
    <t xml:space="preserve">e.g. 0700 000 000</t>
  </si>
  <si>
    <t xml:space="preserve">e.g. https://…</t>
  </si>
  <si>
    <t xml:space="preserve">2026-01-01</t>
  </si>
  <si>
    <t xml:space="preserve">2026-10-21</t>
  </si>
  <si>
    <t xml:space="preserve">Policy wording</t>
  </si>
  <si>
    <t xml:space="preserve">Y</t>
  </si>
  <si>
    <t xml:space="preserve">Reviewed quarterly</t>
  </si>
  <si>
    <t xml:space="preserve">D. Guchu 2026-10-22</t>
  </si>
  <si>
    <t xml:space="preserve">Example row – delete when real data is added</t>
  </si>
  <si>
    <t xml:space="preserve">Document tracker</t>
  </si>
  <si>
    <t xml:space="preserve">Update Status as documents are requested and received.</t>
  </si>
  <si>
    <t xml:space="preserve">#</t>
  </si>
  <si>
    <t xml:space="preserve">Document</t>
  </si>
  <si>
    <t xml:space="preserve">Where to get it</t>
  </si>
  <si>
    <t xml:space="preserve">Status</t>
  </si>
  <si>
    <t xml:space="preserve">Date requested</t>
  </si>
  <si>
    <t xml:space="preserve">Date received</t>
  </si>
  <si>
    <t xml:space="preserve">File name / link</t>
  </si>
  <si>
    <t xml:space="preserve">Notes</t>
  </si>
  <si>
    <t xml:space="preserve">Product brochure(s) – micro products</t>
  </si>
  <si>
    <t xml:space="preserve">jubileeinsurance.com; branch; customer care; Jubilee Health/Retail</t>
  </si>
  <si>
    <t xml:space="preserve">Not started</t>
  </si>
  <si>
    <t xml:space="preserve">Policy wording / terms &amp; conditions</t>
  </si>
  <si>
    <t xml:space="preserve">Ask for the Imarisha Jamii wording and any current micro products</t>
  </si>
  <si>
    <t xml:space="preserve">Premium table and benefit schedule</t>
  </si>
  <si>
    <t xml:space="preserve">Insurer or partner (e.g. Bluewave Microfinance)</t>
  </si>
  <si>
    <t xml:space="preserve">Claim form and claims procedure</t>
  </si>
  <si>
    <t xml:space="preserve">Insurer</t>
  </si>
  <si>
    <t xml:space="preserve">FAQs / customer guide</t>
  </si>
  <si>
    <t xml:space="preserve">Insurer website</t>
  </si>
  <si>
    <t xml:space="preserve">Product brochure(s) – Britam Connect / Britam Microinsurance</t>
  </si>
  <si>
    <t xml:space="preserve">ke.britam.com; Britam Connect channels</t>
  </si>
  <si>
    <t xml:space="preserve">Policy wording – Bima ya Wafanyikazi</t>
  </si>
  <si>
    <t xml:space="preserve">Britam Connect / Minet Kenya</t>
  </si>
  <si>
    <t xml:space="preserve">Britam Connect</t>
  </si>
  <si>
    <t xml:space="preserve">Product brochure(s) – CIC Impact portfolio</t>
  </si>
  <si>
    <t xml:space="preserve">cic.co.ke / cicinsurancegroup.com; CIC branch</t>
  </si>
  <si>
    <t xml:space="preserve">Policy wording – MSME &amp; Commercial Risk</t>
  </si>
  <si>
    <t xml:space="preserve">List of licensed microinsurers</t>
  </si>
  <si>
    <t xml:space="preserve">IRA</t>
  </si>
  <si>
    <t xml:space="preserve">ira.go.ke</t>
  </si>
  <si>
    <t xml:space="preserve">Insurance (Microinsurance) Regulations 2020</t>
  </si>
  <si>
    <t xml:space="preserve">IRA / Kenya Law</t>
  </si>
  <si>
    <t xml:space="preserve">ira.go.ke; kenyalaw.org</t>
  </si>
  <si>
    <t xml:space="preserve">Insurance Act (relevant provisions)</t>
  </si>
  <si>
    <t xml:space="preserve">Kenya Law</t>
  </si>
  <si>
    <t xml:space="preserve">kenyalaw.org</t>
  </si>
  <si>
    <t xml:space="preserve">Data Protection Act guidance (consent, retention)</t>
  </si>
  <si>
    <t xml:space="preserve">ODPC</t>
  </si>
  <si>
    <t xml:space="preserve">odpc.go.ke</t>
  </si>
  <si>
    <t xml:space="preserve">Market loss data: fire, theft, eviction, flooding (Gikomba, Toi, Muthurwa, etc.)</t>
  </si>
  <si>
    <t xml:space="preserve">News / county / trader associations</t>
  </si>
  <si>
    <t xml:space="preserve">Targeted news search; association leaders</t>
  </si>
  <si>
    <t xml:space="preserve">Financial inclusion / informal-sector insurance research</t>
  </si>
  <si>
    <t xml:space="preserve">FSD Kenya, FSD Africa, A2ii, Microinsurance Network</t>
  </si>
  <si>
    <t xml:space="preserve">fsdkenya.org; fsdafrica.org; a2ii.org; microinsurancenetwork.org</t>
  </si>
  <si>
    <t xml:space="preserve">Documents received</t>
  </si>
  <si>
    <t xml:space="preserve">Total documents</t>
  </si>
  <si>
    <t xml:space="preserve">Progress</t>
  </si>
  <si>
    <t xml:space="preserve">Questions for insurers</t>
  </si>
  <si>
    <t xml:space="preserve">Record each insurer's answer in the yellow cells, with date and name of the person who answered.</t>
  </si>
  <si>
    <t xml:space="preserve">Topic</t>
  </si>
  <si>
    <t xml:space="preserve">Question</t>
  </si>
  <si>
    <t xml:space="preserve">Jubilee answer</t>
  </si>
  <si>
    <t xml:space="preserve">Britam Connect answer</t>
  </si>
  <si>
    <t xml:space="preserve">CIC Impact answer</t>
  </si>
  <si>
    <t xml:space="preserve">Publishing</t>
  </si>
  <si>
    <t xml:space="preserve">May we publish your product details and premiums in a public information chatbot, showing the source and document date?</t>
  </si>
  <si>
    <t xml:space="preserve">May we quote or summarise brochure and policy wording text? Any wording you require us to use?</t>
  </si>
  <si>
    <t xml:space="preserve">Updates</t>
  </si>
  <si>
    <t xml:space="preserve">How often do premiums, benefits or terms change? How will you notify us?</t>
  </si>
  <si>
    <t xml:space="preserve">Who is the named contact for updates and corrections?</t>
  </si>
  <si>
    <t xml:space="preserve">Product fit</t>
  </si>
  <si>
    <t xml:space="preserve">Which of your micro products are open to informal market traders (e.g. mitumba sellers)?</t>
  </si>
  <si>
    <t xml:space="preserve">Is there any product that covers business stock against fire, theft or damage? If not, is one planned?</t>
  </si>
  <si>
    <t xml:space="preserve">Can a traders' association, SACCO or chama enrol members as a group? Minimum group size?</t>
  </si>
  <si>
    <t xml:space="preserve">Cost</t>
  </si>
  <si>
    <t xml:space="preserve">What are the premiums, and can they be paid daily, weekly or monthly (e.g. via M-Pesa)?</t>
  </si>
  <si>
    <t xml:space="preserve">What happens if a trader misses a payment or has a zero-sales week (grace period, lapse, reinstatement)?</t>
  </si>
  <si>
    <t xml:space="preserve">Cover</t>
  </si>
  <si>
    <t xml:space="preserve">What are the benefit amounts, waiting periods and age limits?</t>
  </si>
  <si>
    <t xml:space="preserve">What are the exclusions? (Please confirm against current policy wording.)</t>
  </si>
  <si>
    <t xml:space="preserve">Claims</t>
  </si>
  <si>
    <t xml:space="preserve">How do traders claim, which documents are needed, and how long does payout take?</t>
  </si>
  <si>
    <t xml:space="preserve">What is your claims settlement record for micro products (if shareable)?</t>
  </si>
  <si>
    <t xml:space="preserve">Distribution</t>
  </si>
  <si>
    <t xml:space="preserve">What are the channels to buy: USSD, app, agent, partner, branch? Provider contact numbers?</t>
  </si>
  <si>
    <t xml:space="preserve">Compliance</t>
  </si>
  <si>
    <t xml:space="preserve">Which licensed entity underwrites each product? Please confirm the IRA approval status.</t>
  </si>
  <si>
    <t xml:space="preserve">Questions traders need answered</t>
  </si>
  <si>
    <t xml:space="preserve">Swahili is a DRAFT – have a native speaker (ideally a trader) review wording before use.</t>
  </si>
  <si>
    <t xml:space="preserve">Category</t>
  </si>
  <si>
    <t xml:space="preserve">Question (English)</t>
  </si>
  <si>
    <t xml:space="preserve">Swahili (draft)</t>
  </si>
  <si>
    <t xml:space="preserve">Answer source needed</t>
  </si>
  <si>
    <t xml:space="preserve">Answered? (Y/N)</t>
  </si>
  <si>
    <t xml:space="preserve">Q01</t>
  </si>
  <si>
    <t xml:space="preserve">Basics</t>
  </si>
  <si>
    <t xml:space="preserve">What is microinsurance?</t>
  </si>
  <si>
    <t xml:space="preserve">Bima ndogo (microinsurance) ni nini?</t>
  </si>
  <si>
    <t xml:space="preserve">Regulations / insurer FAQ</t>
  </si>
  <si>
    <t xml:space="preserve">Q02</t>
  </si>
  <si>
    <t xml:space="preserve">Is insurance for someone like me, who sells mitumba?</t>
  </si>
  <si>
    <t xml:space="preserve">Je, bima ni ya mtu kama mimi ninayeuza mitumba?</t>
  </si>
  <si>
    <t xml:space="preserve">Product eligibility</t>
  </si>
  <si>
    <t xml:space="preserve">Q03</t>
  </si>
  <si>
    <t xml:space="preserve">Is this company licensed and safe?</t>
  </si>
  <si>
    <t xml:space="preserve">Je, kampuni hii ina leseni na ni salama?</t>
  </si>
  <si>
    <t xml:space="preserve">IRA licensed list</t>
  </si>
  <si>
    <t xml:space="preserve">Q04</t>
  </si>
  <si>
    <t xml:space="preserve">What happens if I get sick and cannot work?</t>
  </si>
  <si>
    <t xml:space="preserve">Nikiugua na nisiweze kufanya kazi itakuwaje?</t>
  </si>
  <si>
    <t xml:space="preserve">Hospital cash / medical product wording</t>
  </si>
  <si>
    <t xml:space="preserve">Q05</t>
  </si>
  <si>
    <t xml:space="preserve">What happens if I am injured in an accident?</t>
  </si>
  <si>
    <t xml:space="preserve">Nikipata ajali itakuwaje?</t>
  </si>
  <si>
    <t xml:space="preserve">Personal accident wording</t>
  </si>
  <si>
    <t xml:space="preserve">Q06</t>
  </si>
  <si>
    <t xml:space="preserve">What happens to my family if I die?</t>
  </si>
  <si>
    <t xml:space="preserve">Familia yangu itapata nini nikifariki?</t>
  </si>
  <si>
    <t xml:space="preserve">Funeral / life wording</t>
  </si>
  <si>
    <t xml:space="preserve">Q07</t>
  </si>
  <si>
    <t xml:space="preserve">Is my stock covered if it burns or is stolen?</t>
  </si>
  <si>
    <t xml:space="preserve">Je, mzigo wangu umekingwa ukiungua au kuibiwa?</t>
  </si>
  <si>
    <t xml:space="preserve">Business/MSME product wording (confirm exists)</t>
  </si>
  <si>
    <t xml:space="preserve">Q08</t>
  </si>
  <si>
    <t xml:space="preserve">What is not covered?</t>
  </si>
  <si>
    <t xml:space="preserve">Nini hakijakingwa?</t>
  </si>
  <si>
    <t xml:space="preserve">Exclusions in policy wording</t>
  </si>
  <si>
    <t xml:space="preserve">Q09</t>
  </si>
  <si>
    <t xml:space="preserve">How much does it cost per day, week or month?</t>
  </si>
  <si>
    <t xml:space="preserve">Gharama ni kiasi gani kwa siku, wiki au mwezi?</t>
  </si>
  <si>
    <t xml:space="preserve">Premium table</t>
  </si>
  <si>
    <t xml:space="preserve">Q10</t>
  </si>
  <si>
    <t xml:space="preserve">Can I pay a small amount daily or weekly through M-Pesa?</t>
  </si>
  <si>
    <t xml:space="preserve">Naweza kulipa kiasi kidogo kila siku au wiki kupitia M-Pesa?</t>
  </si>
  <si>
    <t xml:space="preserve">Payment terms</t>
  </si>
  <si>
    <t xml:space="preserve">Q11</t>
  </si>
  <si>
    <t xml:space="preserve">What if I miss a payment or have a slow sales week?</t>
  </si>
  <si>
    <t xml:space="preserve">Nikikosa kulipa au mauzo yakiwa chini itakuwaje?</t>
  </si>
  <si>
    <t xml:space="preserve">Lapse / grace rules</t>
  </si>
  <si>
    <t xml:space="preserve">Q12</t>
  </si>
  <si>
    <t xml:space="preserve">Which cover can I afford with KES [amount] a week?</t>
  </si>
  <si>
    <t xml:space="preserve">Ni bima ipi naweza kumudu kwa KES [kiasi] kwa wiki?</t>
  </si>
  <si>
    <t xml:space="preserve">Premium table + Affordability sheet</t>
  </si>
  <si>
    <t xml:space="preserve">Q13</t>
  </si>
  <si>
    <t xml:space="preserve">How do I claim and what documents do I need?</t>
  </si>
  <si>
    <t xml:space="preserve">Nitadai vipi na nitahitaji hati gani?</t>
  </si>
  <si>
    <t xml:space="preserve">Claims procedure</t>
  </si>
  <si>
    <t xml:space="preserve">Q14</t>
  </si>
  <si>
    <t xml:space="preserve">How long until I am paid?</t>
  </si>
  <si>
    <t xml:space="preserve">Nitalipwa baada ya muda gani?</t>
  </si>
  <si>
    <t xml:space="preserve">Q15</t>
  </si>
  <si>
    <t xml:space="preserve">Who do I call if my claim is delayed or refused?</t>
  </si>
  <si>
    <t xml:space="preserve">Nimpigie nani dai langu likicheleweshwa au kukataliwa?</t>
  </si>
  <si>
    <t xml:space="preserve">Provider contact / IRA complaints</t>
  </si>
  <si>
    <t xml:space="preserve">Q16</t>
  </si>
  <si>
    <t xml:space="preserve">Waiting</t>
  </si>
  <si>
    <t xml:space="preserve">Is there a waiting period before I can claim?</t>
  </si>
  <si>
    <t xml:space="preserve">Je, kuna muda wa kusubiri kabla ya kudai?</t>
  </si>
  <si>
    <t xml:space="preserve">Waiting period in wording</t>
  </si>
  <si>
    <t xml:space="preserve">Q17</t>
  </si>
  <si>
    <t xml:space="preserve">Family</t>
  </si>
  <si>
    <t xml:space="preserve">Can I cover my spouse and children?</t>
  </si>
  <si>
    <t xml:space="preserve">Naweza kuwajumuisha mke/mume na watoto?</t>
  </si>
  <si>
    <t xml:space="preserve">Family option</t>
  </si>
  <si>
    <t xml:space="preserve">Q18</t>
  </si>
  <si>
    <t xml:space="preserve">Group</t>
  </si>
  <si>
    <t xml:space="preserve">Can my market association or chama join together?</t>
  </si>
  <si>
    <t xml:space="preserve">Je, chama chetu cha soko kinaweza kujiunga pamoja?</t>
  </si>
  <si>
    <t xml:space="preserve">Group scheme terms</t>
  </si>
  <si>
    <t xml:space="preserve">Q19</t>
  </si>
  <si>
    <t xml:space="preserve">Buying</t>
  </si>
  <si>
    <t xml:space="preserve">How do I buy and who do I contact?</t>
  </si>
  <si>
    <t xml:space="preserve">Ninanunua vipi na nawasiliana na nani?</t>
  </si>
  <si>
    <t xml:space="preserve">Q20</t>
  </si>
  <si>
    <t xml:space="preserve">Comparison</t>
  </si>
  <si>
    <t xml:space="preserve">Which is better for me: Jubilee, Britam or CIC?</t>
  </si>
  <si>
    <t xml:space="preserve">Ipi ni bora kwangu: Jubilee, Britam au CIC?</t>
  </si>
  <si>
    <t xml:space="preserve">Comparison of verified products only</t>
  </si>
  <si>
    <t xml:space="preserve">Q21</t>
  </si>
  <si>
    <t xml:space="preserve">Trust</t>
  </si>
  <si>
    <t xml:space="preserve">Is my phone number and information safe?</t>
  </si>
  <si>
    <t xml:space="preserve">Je, namba yangu ya simu na taarifa zangu ziko salama?</t>
  </si>
  <si>
    <t xml:space="preserve">Data protection / consent notice</t>
  </si>
  <si>
    <t xml:space="preserve">How losses map to product types (hypotheses – validate with traders and insurers)</t>
  </si>
  <si>
    <t xml:space="preserve">'Candidate products' refers to Product_Records IDs. Coverage status must be confirmed from policy wording before use in the chatbot.</t>
  </si>
  <si>
    <t xml:space="preserve">Risk</t>
  </si>
  <si>
    <t xml:space="preserve">Example loss for a mitumba trader</t>
  </si>
  <si>
    <t xml:space="preserve">Impact on trader</t>
  </si>
  <si>
    <t xml:space="preserve">Product type that could respond</t>
  </si>
  <si>
    <t xml:space="preserve">Candidate products (IDs)</t>
  </si>
  <si>
    <t xml:space="preserve">Coverage status</t>
  </si>
  <si>
    <t xml:space="preserve">What to confirm</t>
  </si>
  <si>
    <t xml:space="preserve">Illness / hospitalisation</t>
  </si>
  <si>
    <t xml:space="preserve">Trader is admitted and cannot sell; family still needs daily income</t>
  </si>
  <si>
    <t xml:space="preserve">Lost daily income plus medical costs</t>
  </si>
  <si>
    <t xml:space="preserve">Hospital cash; medical cover</t>
  </si>
  <si>
    <t xml:space="preserve">P01, P02, P06</t>
  </si>
  <si>
    <t xml:space="preserve">Likely (needs verification)</t>
  </si>
  <si>
    <t xml:space="preserve">Daily benefit amount, waiting period, minimum nights</t>
  </si>
  <si>
    <t xml:space="preserve">Accident / injury</t>
  </si>
  <si>
    <t xml:space="preserve">Injury on the way to market or while handling bales</t>
  </si>
  <si>
    <t xml:space="preserve">Medical bills, weeks without sales</t>
  </si>
  <si>
    <t xml:space="preserve">P03, P05</t>
  </si>
  <si>
    <t xml:space="preserve">Whether traders qualify; benefit limits</t>
  </si>
  <si>
    <t xml:space="preserve">Death of the trader</t>
  </si>
  <si>
    <t xml:space="preserve">Business stops; family faces funeral costs</t>
  </si>
  <si>
    <t xml:space="preserve">Funeral expenses; loss of household income</t>
  </si>
  <si>
    <t xml:space="preserve">Funeral / last-expense; life cover</t>
  </si>
  <si>
    <t xml:space="preserve">P01, P03, P06</t>
  </si>
  <si>
    <t xml:space="preserve">Sum insured; who is paid; payout time</t>
  </si>
  <si>
    <t xml:space="preserve">Stock lost to fire</t>
  </si>
  <si>
    <t xml:space="preserve">Market fire destroys bales and stall</t>
  </si>
  <si>
    <t xml:space="preserve">Total loss of working capital</t>
  </si>
  <si>
    <t xml:space="preserve">Commercial/MSME property cover</t>
  </si>
  <si>
    <t xml:space="preserve">UNCLEAR – no confirmed product</t>
  </si>
  <si>
    <t xml:space="preserve">Does CIC Impact MSME cover include stock and fire? Sum insured; premium</t>
  </si>
  <si>
    <t xml:space="preserve">Theft</t>
  </si>
  <si>
    <t xml:space="preserve">Stock stolen from stall or storage</t>
  </si>
  <si>
    <t xml:space="preserve">Loss of capital</t>
  </si>
  <si>
    <t xml:space="preserve">Theft cover, conditions, security requirements</t>
  </si>
  <si>
    <t xml:space="preserve">Eviction / demolition / market closure</t>
  </si>
  <si>
    <t xml:space="preserve">Stalls cleared; stock damaged or lost</t>
  </si>
  <si>
    <t xml:space="preserve">Loss of site and stock</t>
  </si>
  <si>
    <t xml:space="preserve">Likely not insurable under micro products</t>
  </si>
  <si>
    <t xml:space="preserve">None</t>
  </si>
  <si>
    <t xml:space="preserve">Probable GAP</t>
  </si>
  <si>
    <t xml:space="preserve">Ask insurers; say so honestly in the chatbot</t>
  </si>
  <si>
    <t xml:space="preserve">Flooding / rain damage</t>
  </si>
  <si>
    <t xml:space="preserve">Stock soaked at open-air stalls</t>
  </si>
  <si>
    <t xml:space="preserve">Spoiled stock</t>
  </si>
  <si>
    <t xml:space="preserve">UNCLEAR</t>
  </si>
  <si>
    <t xml:space="preserve">Weather/flood inclusion</t>
  </si>
  <si>
    <t xml:space="preserve">Slow sales / price shocks</t>
  </si>
  <si>
    <t xml:space="preserve">Bale prices rise or sales fall</t>
  </si>
  <si>
    <t xml:space="preserve">Reduced income</t>
  </si>
  <si>
    <t xml:space="preserve">Not insurance – savings or credit</t>
  </si>
  <si>
    <t xml:space="preserve">GAP (not insurable)</t>
  </si>
  <si>
    <t xml:space="preserve">Chatbot should explain this is not covered by insurance</t>
  </si>
  <si>
    <t xml:space="preserve">Dependants' health</t>
  </si>
  <si>
    <t xml:space="preserve">Child or spouse falls ill</t>
  </si>
  <si>
    <t xml:space="preserve">Medical costs, time off work</t>
  </si>
  <si>
    <t xml:space="preserve">Family hospital cash / medical</t>
  </si>
  <si>
    <t xml:space="preserve">P01, P06</t>
  </si>
  <si>
    <t xml:space="preserve">Possible – family option exists in P01 (2018 info)</t>
  </si>
  <si>
    <t xml:space="preserve">Family premium and who counts as dependants</t>
  </si>
  <si>
    <t xml:space="preserve">Affordability calculator</t>
  </si>
  <si>
    <t xml:space="preserve">Change blue cells. Black cells are formulas. Premiums below are UNVERIFIED headline figures from news.</t>
  </si>
  <si>
    <t xml:space="preserve">Trader weekly budget for insurance (KES)</t>
  </si>
  <si>
    <t xml:space="preserve">Assumption: example value only. Ask traders what they can afford (user input, not a published figure).</t>
  </si>
  <si>
    <t xml:space="preserve">Product ID</t>
  </si>
  <si>
    <t xml:space="preserve">Product</t>
  </si>
  <si>
    <t xml:space="preserve">Frequency</t>
  </si>
  <si>
    <t xml:space="preserve">Weekly equivalent (KES)</t>
  </si>
  <si>
    <t xml:space="preserve">Monthly equivalent (KES)</t>
  </si>
  <si>
    <t xml:space="preserve">Annual equivalent (KES)</t>
  </si>
  <si>
    <t xml:space="preserve">% of weekly budget</t>
  </si>
  <si>
    <t xml:space="preserve">Within budget?</t>
  </si>
  <si>
    <t xml:space="preserve">Note</t>
  </si>
  <si>
    <t xml:space="preserve">Britam Bima ya Wafanyikazi</t>
  </si>
  <si>
    <t xml:space="preserve">Monthly</t>
  </si>
  <si>
    <t xml:space="preserve">Headline figure from news; minimum, check actual premium</t>
  </si>
  <si>
    <t xml:space="preserve">CIC Impact portfolio (starting premium, upper bound)</t>
  </si>
  <si>
    <t xml:space="preserve">'Below 3,000' per year – upper bound, not an exact premium</t>
  </si>
  <si>
    <t xml:space="preserve">Jubilee Imarisha Jamii (headline)</t>
  </si>
  <si>
    <t xml:space="preserve">Daily</t>
  </si>
  <si>
    <t xml:space="preserve">Frequency NOT stated in source – 'Daily' is a placeholder assumption; confirm</t>
  </si>
  <si>
    <t xml:space="preserve">Example product</t>
  </si>
  <si>
    <t xml:space="preserve">Weekly</t>
  </si>
  <si>
    <t xml:space="preserve">Example row</t>
  </si>
  <si>
    <t xml:space="preserve">Assumption: 52 weeks and 12 months per year. Weekly equivalent = daily x 7, monthly x 12 / 52, annual / 52.</t>
  </si>
  <si>
    <t xml:space="preserve">Work plan: 20–23 Oct 2026</t>
  </si>
  <si>
    <t xml:space="preserve">Copy the three sub-tasks into Notion.</t>
  </si>
  <si>
    <t xml:space="preserve">Date</t>
  </si>
  <si>
    <t xml:space="preserve">Task</t>
  </si>
  <si>
    <t xml:space="preserve">Notion sub-task</t>
  </si>
  <si>
    <t xml:space="preserve">Owner</t>
  </si>
  <si>
    <t xml:space="preserve">Done when</t>
  </si>
  <si>
    <t xml:space="preserve">20 Oct</t>
  </si>
  <si>
    <t xml:space="preserve">Send outreach email to Jubilee, Britam Connect and CIC Impact; download public documents; start Document_Tracker</t>
  </si>
  <si>
    <t xml:space="preserve">1. Collect official documents</t>
  </si>
  <si>
    <t xml:space="preserve">David Guchu</t>
  </si>
  <si>
    <t xml:space="preserve">Emails sent; tracker updated</t>
  </si>
  <si>
    <t xml:space="preserve">21 Oct</t>
  </si>
  <si>
    <t xml:space="preserve">Phone/visit insurers; fill Product_Records from documents; ask Insurer_Questions</t>
  </si>
  <si>
    <t xml:space="preserve">2. Fill product record sheet and confirm publishing/update frequency</t>
  </si>
  <si>
    <t xml:space="preserve">Each product row has source, date and confidence</t>
  </si>
  <si>
    <t xml:space="preserve">22 Oct</t>
  </si>
  <si>
    <t xml:space="preserve">Test Trader_Questions with 2–3 traders; refine; review Swahili</t>
  </si>
  <si>
    <t xml:space="preserve">3. Write and group the trader question list</t>
  </si>
  <si>
    <t xml:space="preserve">Questions grouped; gaps noted</t>
  </si>
  <si>
    <t xml:space="preserve">23 Oct</t>
  </si>
  <si>
    <t xml:space="preserve">Review gaps; mark unverified items; short summary to team</t>
  </si>
  <si>
    <t xml:space="preserve">Submit task</t>
  </si>
  <si>
    <t xml:space="preserve">Summary posted in Notion</t>
  </si>
  <si>
    <t xml:space="preserve">Sources used (all retrieved 20 Oct 2026)</t>
  </si>
  <si>
    <t xml:space="preserve">News sources show what exists; they are not authoritative for terms or premiums.</t>
  </si>
  <si>
    <t xml:space="preserve">Source</t>
  </si>
  <si>
    <t xml:space="preserve">URL</t>
  </si>
  <si>
    <t xml:space="preserve">Supports</t>
  </si>
  <si>
    <t xml:space="preserve">Type</t>
  </si>
  <si>
    <t xml:space="preserve">Reliability for chatbot answers</t>
  </si>
  <si>
    <t xml:space="preserve">Capital FM – Jubilee Imarisha Jamii (2018)</t>
  </si>
  <si>
    <t xml:space="preserve">P01 details</t>
  </si>
  <si>
    <t xml:space="preserve">News</t>
  </si>
  <si>
    <t xml:space="preserve">Low – 2018, verify</t>
  </si>
  <si>
    <t xml:space="preserve">Capital FM – Jubilee/FSD Africa insurtech pilots (Oct 2026)</t>
  </si>
  <si>
    <t xml:space="preserve">P07; November 2026 pilots</t>
  </si>
  <si>
    <t xml:space="preserve">Medium for context only</t>
  </si>
  <si>
    <t xml:space="preserve">Britam – Britam Connect launch (Mar 2025)</t>
  </si>
  <si>
    <t xml:space="preserve">https://ke.britam.com/newsroom/britam-connect-to-revolutionize-insurance-for-low-income-households-gig-workers-and-small-businesses</t>
  </si>
  <si>
    <t xml:space="preserve">Britam Connect background, 40% market share claim</t>
  </si>
  <si>
    <t xml:space="preserve">Insurer press release</t>
  </si>
  <si>
    <t xml:space="preserve">Medium (insurer claim)</t>
  </si>
  <si>
    <t xml:space="preserve">Business Daily – Britam Bima ya Wafanyikazi</t>
  </si>
  <si>
    <t xml:space="preserve">Low–medium; get brochure</t>
  </si>
  <si>
    <t xml:space="preserve">Business Daily – Telkom/Britam Life Bila Noma</t>
  </si>
  <si>
    <t xml:space="preserve">Low – older</t>
  </si>
  <si>
    <t xml:space="preserve">HapaKenya – CIC Impact launch (30 Jul 2026)</t>
  </si>
  <si>
    <t xml:space="preserve">P04, P05, P06</t>
  </si>
  <si>
    <t xml:space="preserve">Medium for context; get CIC documents</t>
  </si>
  <si>
    <t xml:space="preserve">CIC Group press release</t>
  </si>
  <si>
    <t xml:space="preserve">https://www.cicinsurancegroup.com/?p=1789</t>
  </si>
  <si>
    <t xml:space="preserve">CIC Impact launch</t>
  </si>
  <si>
    <t xml:space="preserve">Medium</t>
  </si>
  <si>
    <t xml:space="preserve">Business Daily – informal sector products</t>
  </si>
  <si>
    <t xml:space="preserve">https://www.businessdailyafrica.com/bd/economy/kenyan-insurers-tweak-products-in-race-for-informal-sector-5558574</t>
  </si>
  <si>
    <t xml:space="preserve">List of six licensed micro insurers; irregular income barrier</t>
  </si>
  <si>
    <t xml:space="preserve">Medium; confirm with IRA list</t>
  </si>
  <si>
    <t xml:space="preserve">Insurance Regulatory Authority</t>
  </si>
  <si>
    <t xml:space="preserve">https://www.ira.go.ke</t>
  </si>
  <si>
    <t xml:space="preserve">Licensed insurers, microinsurance framework</t>
  </si>
  <si>
    <t xml:space="preserve">Regulator</t>
  </si>
  <si>
    <t xml:space="preserve">High – primary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</si>
</sst>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%"/>
    <numFmt numFmtId="167" formatCode="#,##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  <font>
      <sz val="10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23.85" hidden="false" customHeight="false" outlineLevel="0" collapsed="false">
      <c r="A5" s="4" t="s">
        <v>3</v>
      </c>
    </row>
    <row r="6" customFormat="false" ht="15" hidden="false" customHeight="false" outlineLevel="0" collapsed="false">
      <c r="A6" s="4" t="s">
        <v>4</v>
      </c>
    </row>
    <row r="7" customFormat="false" ht="23.85" hidden="false" customHeight="false" outlineLevel="0" collapsed="false">
      <c r="A7" s="4" t="s">
        <v>5</v>
      </c>
    </row>
    <row r="8" customFormat="false" ht="15" hidden="false" customHeight="false" outlineLevel="0" collapsed="false">
      <c r="A8" s="4" t="s">
        <v>6</v>
      </c>
    </row>
    <row r="9" customFormat="false" ht="15" hidden="false" customHeight="false" outlineLevel="0" collapsed="false">
      <c r="A9" s="4" t="s">
        <v>7</v>
      </c>
    </row>
    <row r="10" customFormat="false" ht="15" hidden="false" customHeight="false" outlineLevel="0" collapsed="false">
      <c r="A10" s="4" t="s">
        <v>8</v>
      </c>
    </row>
    <row r="11" customFormat="false" ht="15" hidden="false" customHeight="false" outlineLevel="0" collapsed="false">
      <c r="A11" s="4" t="s">
        <v>9</v>
      </c>
    </row>
    <row r="12" customFormat="false" ht="15" hidden="false" customHeight="false" outlineLevel="0" collapsed="false">
      <c r="A12" s="4" t="s">
        <v>10</v>
      </c>
    </row>
    <row r="13" customFormat="false" ht="15" hidden="false" customHeight="false" outlineLevel="0" collapsed="false">
      <c r="A13" s="4"/>
    </row>
    <row r="14" customFormat="false" ht="15" hidden="false" customHeight="false" outlineLevel="0" collapsed="false">
      <c r="A14" s="3" t="s">
        <v>11</v>
      </c>
    </row>
    <row r="15" customFormat="false" ht="15" hidden="false" customHeight="false" outlineLevel="0" collapsed="false">
      <c r="A15" s="4" t="s">
        <v>12</v>
      </c>
    </row>
    <row r="16" customFormat="false" ht="15" hidden="false" customHeight="false" outlineLevel="0" collapsed="false">
      <c r="A16" s="4"/>
    </row>
    <row r="17" customFormat="false" ht="15" hidden="false" customHeight="false" outlineLevel="0" collapsed="false">
      <c r="A17" s="3" t="s">
        <v>13</v>
      </c>
    </row>
    <row r="18" customFormat="false" ht="23.85" hidden="false" customHeight="false" outlineLevel="0" collapsed="false">
      <c r="A18" s="4" t="s">
        <v>14</v>
      </c>
    </row>
    <row r="19" customFormat="false" ht="15" hidden="false" customHeight="false" outlineLevel="0" collapsed="false">
      <c r="A19" s="4" t="s">
        <v>15</v>
      </c>
    </row>
    <row r="20" customFormat="false" ht="23.85" hidden="false" customHeight="false" outlineLevel="0" collapsed="false">
      <c r="A20" s="4" t="s">
        <v>16</v>
      </c>
    </row>
    <row r="21" customFormat="false" ht="23.85" hidden="false" customHeight="false" outlineLevel="0" collapsed="false">
      <c r="A21" s="4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24"/>
    <col collapsed="false" customWidth="true" hidden="false" outlineLevel="0" max="4" min="4" style="0" width="26"/>
    <col collapsed="false" customWidth="true" hidden="false" outlineLevel="0" max="5" min="5" style="0" width="22"/>
    <col collapsed="false" customWidth="true" hidden="false" outlineLevel="0" max="6" min="6" style="0" width="26"/>
    <col collapsed="false" customWidth="true" hidden="false" outlineLevel="0" max="7" min="7" style="0" width="36"/>
    <col collapsed="false" customWidth="true" hidden="false" outlineLevel="0" max="8" min="8" style="0" width="24"/>
    <col collapsed="false" customWidth="true" hidden="false" outlineLevel="0" max="9" min="9" style="0" width="22"/>
    <col collapsed="false" customWidth="true" hidden="false" outlineLevel="0" max="10" min="10" style="0" width="24"/>
    <col collapsed="false" customWidth="true" hidden="false" outlineLevel="0" max="11" min="11" style="0" width="12"/>
    <col collapsed="false" customWidth="true" hidden="false" outlineLevel="0" max="12" min="12" style="0" width="18"/>
    <col collapsed="false" customWidth="true" hidden="false" outlineLevel="0" max="13" min="13" style="0" width="30"/>
    <col collapsed="false" customWidth="true" hidden="false" outlineLevel="0" max="14" min="14" style="0" width="28"/>
    <col collapsed="false" customWidth="true" hidden="false" outlineLevel="0" max="15" min="15" style="0" width="26"/>
    <col collapsed="false" customWidth="true" hidden="false" outlineLevel="0" max="16" min="16" style="0" width="18"/>
    <col collapsed="false" customWidth="true" hidden="false" outlineLevel="0" max="17" min="17" style="0" width="44"/>
    <col collapsed="false" customWidth="true" hidden="false" outlineLevel="0" max="18" min="18" style="0" width="16"/>
    <col collapsed="false" customWidth="true" hidden="false" outlineLevel="0" max="19" min="19" style="0" width="14"/>
    <col collapsed="false" customWidth="true" hidden="false" outlineLevel="0" max="20" min="20" style="0" width="22"/>
    <col collapsed="false" customWidth="true" hidden="false" outlineLevel="0" max="21" min="21" style="0" width="14"/>
    <col collapsed="false" customWidth="true" hidden="false" outlineLevel="0" max="23" min="22" style="0" width="18"/>
    <col collapsed="false" customWidth="true" hidden="false" outlineLevel="0" max="24" min="24" style="0" width="38"/>
  </cols>
  <sheetData>
    <row r="1" customFormat="false" ht="17.35" hidden="false" customHeight="false" outlineLevel="0" collapsed="false">
      <c r="A1" s="1" t="s">
        <v>18</v>
      </c>
    </row>
    <row r="2" customFormat="false" ht="15" hidden="false" customHeight="false" outlineLevel="0" collapsed="false">
      <c r="A2" s="2" t="s">
        <v>19</v>
      </c>
    </row>
    <row r="4" customFormat="false" ht="42" hidden="false" customHeight="true" outlineLevel="0" collapsed="false">
      <c r="A4" s="5" t="s">
        <v>20</v>
      </c>
      <c r="B4" s="5" t="s">
        <v>21</v>
      </c>
      <c r="C4" s="5" t="s">
        <v>22</v>
      </c>
      <c r="D4" s="5" t="s">
        <v>23</v>
      </c>
      <c r="E4" s="5" t="s">
        <v>24</v>
      </c>
      <c r="F4" s="5" t="s">
        <v>25</v>
      </c>
      <c r="G4" s="5" t="s">
        <v>26</v>
      </c>
      <c r="H4" s="5" t="s">
        <v>27</v>
      </c>
      <c r="I4" s="5" t="s">
        <v>28</v>
      </c>
      <c r="J4" s="5" t="s">
        <v>29</v>
      </c>
      <c r="K4" s="5" t="s">
        <v>30</v>
      </c>
      <c r="L4" s="5" t="s">
        <v>31</v>
      </c>
      <c r="M4" s="5" t="s">
        <v>32</v>
      </c>
      <c r="N4" s="5" t="s">
        <v>33</v>
      </c>
      <c r="O4" s="5" t="s">
        <v>34</v>
      </c>
      <c r="P4" s="5" t="s">
        <v>35</v>
      </c>
      <c r="Q4" s="5" t="s">
        <v>36</v>
      </c>
      <c r="R4" s="5" t="s">
        <v>37</v>
      </c>
      <c r="S4" s="5" t="s">
        <v>38</v>
      </c>
      <c r="T4" s="5" t="s">
        <v>39</v>
      </c>
      <c r="U4" s="5" t="s">
        <v>40</v>
      </c>
      <c r="V4" s="5" t="s">
        <v>41</v>
      </c>
      <c r="W4" s="5" t="s">
        <v>42</v>
      </c>
      <c r="X4" s="5" t="s">
        <v>43</v>
      </c>
    </row>
    <row r="5" customFormat="false" ht="35.05" hidden="false" customHeight="false" outlineLevel="0" collapsed="false">
      <c r="A5" s="6" t="s">
        <v>44</v>
      </c>
      <c r="B5" s="6" t="s">
        <v>45</v>
      </c>
      <c r="C5" s="6" t="s">
        <v>46</v>
      </c>
      <c r="D5" s="6" t="s">
        <v>47</v>
      </c>
      <c r="E5" s="6" t="s">
        <v>48</v>
      </c>
      <c r="F5" s="6" t="s">
        <v>49</v>
      </c>
      <c r="G5" s="6" t="s">
        <v>50</v>
      </c>
      <c r="H5" s="6" t="s">
        <v>51</v>
      </c>
      <c r="I5" s="7" t="s">
        <v>52</v>
      </c>
      <c r="J5" s="6" t="s">
        <v>53</v>
      </c>
      <c r="K5" s="6" t="s">
        <v>54</v>
      </c>
      <c r="L5" s="6" t="s">
        <v>55</v>
      </c>
      <c r="M5" s="6" t="s">
        <v>56</v>
      </c>
      <c r="N5" s="6" t="s">
        <v>57</v>
      </c>
      <c r="O5" s="6" t="s">
        <v>54</v>
      </c>
      <c r="P5" s="8"/>
      <c r="Q5" s="6" t="s">
        <v>58</v>
      </c>
      <c r="R5" s="6" t="s">
        <v>59</v>
      </c>
      <c r="S5" s="6" t="s">
        <v>60</v>
      </c>
      <c r="T5" s="6" t="s">
        <v>61</v>
      </c>
      <c r="U5" s="8"/>
      <c r="V5" s="8"/>
      <c r="W5" s="8"/>
      <c r="X5" s="6" t="s">
        <v>62</v>
      </c>
    </row>
    <row r="6" customFormat="false" ht="46.25" hidden="false" customHeight="false" outlineLevel="0" collapsed="false">
      <c r="A6" s="6" t="s">
        <v>63</v>
      </c>
      <c r="B6" s="6" t="s">
        <v>64</v>
      </c>
      <c r="C6" s="6" t="s">
        <v>65</v>
      </c>
      <c r="D6" s="6" t="s">
        <v>66</v>
      </c>
      <c r="E6" s="6" t="s">
        <v>67</v>
      </c>
      <c r="F6" s="6" t="s">
        <v>68</v>
      </c>
      <c r="G6" s="6" t="s">
        <v>69</v>
      </c>
      <c r="H6" s="6" t="s">
        <v>51</v>
      </c>
      <c r="I6" s="7" t="s">
        <v>70</v>
      </c>
      <c r="J6" s="6" t="s">
        <v>71</v>
      </c>
      <c r="K6" s="6" t="s">
        <v>54</v>
      </c>
      <c r="L6" s="6" t="s">
        <v>54</v>
      </c>
      <c r="M6" s="6" t="s">
        <v>54</v>
      </c>
      <c r="N6" s="6" t="s">
        <v>72</v>
      </c>
      <c r="O6" s="6" t="s">
        <v>54</v>
      </c>
      <c r="P6" s="8"/>
      <c r="Q6" s="6" t="s">
        <v>73</v>
      </c>
      <c r="R6" s="6" t="s">
        <v>74</v>
      </c>
      <c r="S6" s="6" t="s">
        <v>60</v>
      </c>
      <c r="T6" s="6" t="s">
        <v>75</v>
      </c>
      <c r="U6" s="8"/>
      <c r="V6" s="8"/>
      <c r="W6" s="8"/>
      <c r="X6" s="6" t="s">
        <v>76</v>
      </c>
    </row>
    <row r="7" customFormat="false" ht="35.05" hidden="false" customHeight="false" outlineLevel="0" collapsed="false">
      <c r="A7" s="6" t="s">
        <v>77</v>
      </c>
      <c r="B7" s="6" t="s">
        <v>64</v>
      </c>
      <c r="C7" s="6" t="s">
        <v>78</v>
      </c>
      <c r="D7" s="6" t="s">
        <v>79</v>
      </c>
      <c r="E7" s="6" t="s">
        <v>80</v>
      </c>
      <c r="F7" s="6" t="s">
        <v>81</v>
      </c>
      <c r="G7" s="6" t="s">
        <v>82</v>
      </c>
      <c r="H7" s="6" t="s">
        <v>51</v>
      </c>
      <c r="I7" s="7" t="s">
        <v>54</v>
      </c>
      <c r="J7" s="6" t="s">
        <v>83</v>
      </c>
      <c r="K7" s="6" t="s">
        <v>54</v>
      </c>
      <c r="L7" s="6" t="s">
        <v>54</v>
      </c>
      <c r="M7" s="6" t="s">
        <v>54</v>
      </c>
      <c r="N7" s="6" t="s">
        <v>84</v>
      </c>
      <c r="O7" s="6" t="s">
        <v>54</v>
      </c>
      <c r="P7" s="8"/>
      <c r="Q7" s="6" t="s">
        <v>85</v>
      </c>
      <c r="R7" s="6" t="s">
        <v>86</v>
      </c>
      <c r="S7" s="6" t="s">
        <v>60</v>
      </c>
      <c r="T7" s="6" t="s">
        <v>87</v>
      </c>
      <c r="U7" s="8"/>
      <c r="V7" s="8"/>
      <c r="W7" s="8"/>
      <c r="X7" s="6" t="s">
        <v>88</v>
      </c>
    </row>
    <row r="8" customFormat="false" ht="35.05" hidden="false" customHeight="false" outlineLevel="0" collapsed="false">
      <c r="A8" s="6" t="s">
        <v>89</v>
      </c>
      <c r="B8" s="6" t="s">
        <v>90</v>
      </c>
      <c r="C8" s="6" t="s">
        <v>91</v>
      </c>
      <c r="D8" s="6" t="s">
        <v>92</v>
      </c>
      <c r="E8" s="6" t="s">
        <v>93</v>
      </c>
      <c r="F8" s="6" t="s">
        <v>94</v>
      </c>
      <c r="G8" s="6" t="s">
        <v>95</v>
      </c>
      <c r="H8" s="6" t="s">
        <v>54</v>
      </c>
      <c r="I8" s="7" t="s">
        <v>96</v>
      </c>
      <c r="J8" s="6" t="s">
        <v>97</v>
      </c>
      <c r="K8" s="6" t="s">
        <v>54</v>
      </c>
      <c r="L8" s="6" t="s">
        <v>54</v>
      </c>
      <c r="M8" s="6" t="s">
        <v>54</v>
      </c>
      <c r="N8" s="6" t="s">
        <v>98</v>
      </c>
      <c r="O8" s="6" t="s">
        <v>54</v>
      </c>
      <c r="P8" s="8"/>
      <c r="Q8" s="6" t="s">
        <v>99</v>
      </c>
      <c r="R8" s="6" t="s">
        <v>100</v>
      </c>
      <c r="S8" s="6" t="s">
        <v>60</v>
      </c>
      <c r="T8" s="6" t="s">
        <v>75</v>
      </c>
      <c r="U8" s="8"/>
      <c r="V8" s="8"/>
      <c r="W8" s="8"/>
      <c r="X8" s="6" t="s">
        <v>101</v>
      </c>
    </row>
    <row r="9" customFormat="false" ht="35.05" hidden="false" customHeight="false" outlineLevel="0" collapsed="false">
      <c r="A9" s="6" t="s">
        <v>102</v>
      </c>
      <c r="B9" s="6" t="s">
        <v>90</v>
      </c>
      <c r="C9" s="6" t="s">
        <v>103</v>
      </c>
      <c r="D9" s="6" t="s">
        <v>104</v>
      </c>
      <c r="E9" s="6" t="s">
        <v>105</v>
      </c>
      <c r="F9" s="6" t="s">
        <v>106</v>
      </c>
      <c r="G9" s="6" t="s">
        <v>107</v>
      </c>
      <c r="H9" s="6" t="s">
        <v>54</v>
      </c>
      <c r="I9" s="7" t="s">
        <v>108</v>
      </c>
      <c r="J9" s="6" t="s">
        <v>109</v>
      </c>
      <c r="K9" s="6" t="s">
        <v>54</v>
      </c>
      <c r="L9" s="6" t="s">
        <v>54</v>
      </c>
      <c r="M9" s="6" t="s">
        <v>54</v>
      </c>
      <c r="N9" s="6" t="s">
        <v>110</v>
      </c>
      <c r="O9" s="6" t="s">
        <v>54</v>
      </c>
      <c r="P9" s="8"/>
      <c r="Q9" s="6" t="s">
        <v>99</v>
      </c>
      <c r="R9" s="6" t="s">
        <v>100</v>
      </c>
      <c r="S9" s="6" t="s">
        <v>60</v>
      </c>
      <c r="T9" s="6" t="s">
        <v>75</v>
      </c>
      <c r="U9" s="8"/>
      <c r="V9" s="8"/>
      <c r="W9" s="8"/>
      <c r="X9" s="6" t="s">
        <v>111</v>
      </c>
    </row>
    <row r="10" customFormat="false" ht="46.25" hidden="false" customHeight="false" outlineLevel="0" collapsed="false">
      <c r="A10" s="6" t="s">
        <v>112</v>
      </c>
      <c r="B10" s="6" t="s">
        <v>90</v>
      </c>
      <c r="C10" s="6" t="s">
        <v>103</v>
      </c>
      <c r="D10" s="6" t="s">
        <v>113</v>
      </c>
      <c r="E10" s="6" t="s">
        <v>114</v>
      </c>
      <c r="F10" s="6" t="s">
        <v>115</v>
      </c>
      <c r="G10" s="6" t="s">
        <v>116</v>
      </c>
      <c r="H10" s="6" t="s">
        <v>54</v>
      </c>
      <c r="I10" s="7" t="s">
        <v>54</v>
      </c>
      <c r="J10" s="6" t="s">
        <v>54</v>
      </c>
      <c r="K10" s="6" t="s">
        <v>54</v>
      </c>
      <c r="L10" s="6" t="s">
        <v>54</v>
      </c>
      <c r="M10" s="6" t="s">
        <v>54</v>
      </c>
      <c r="N10" s="6" t="s">
        <v>117</v>
      </c>
      <c r="O10" s="6" t="s">
        <v>54</v>
      </c>
      <c r="P10" s="8"/>
      <c r="Q10" s="6" t="s">
        <v>99</v>
      </c>
      <c r="R10" s="6" t="s">
        <v>100</v>
      </c>
      <c r="S10" s="6" t="s">
        <v>60</v>
      </c>
      <c r="T10" s="6" t="s">
        <v>75</v>
      </c>
      <c r="U10" s="8"/>
      <c r="V10" s="8"/>
      <c r="W10" s="8"/>
      <c r="X10" s="6" t="s">
        <v>118</v>
      </c>
    </row>
    <row r="11" customFormat="false" ht="35.05" hidden="false" customHeight="false" outlineLevel="0" collapsed="false">
      <c r="A11" s="6" t="s">
        <v>119</v>
      </c>
      <c r="B11" s="6" t="s">
        <v>120</v>
      </c>
      <c r="C11" s="6" t="s">
        <v>121</v>
      </c>
      <c r="D11" s="6" t="s">
        <v>122</v>
      </c>
      <c r="E11" s="6" t="s">
        <v>123</v>
      </c>
      <c r="F11" s="6" t="s">
        <v>124</v>
      </c>
      <c r="G11" s="6" t="s">
        <v>125</v>
      </c>
      <c r="H11" s="6" t="s">
        <v>126</v>
      </c>
      <c r="I11" s="7" t="s">
        <v>126</v>
      </c>
      <c r="J11" s="6" t="s">
        <v>126</v>
      </c>
      <c r="K11" s="6" t="s">
        <v>126</v>
      </c>
      <c r="L11" s="6" t="s">
        <v>126</v>
      </c>
      <c r="M11" s="6" t="s">
        <v>126</v>
      </c>
      <c r="N11" s="6" t="s">
        <v>127</v>
      </c>
      <c r="O11" s="6" t="s">
        <v>126</v>
      </c>
      <c r="P11" s="8"/>
      <c r="Q11" s="6" t="s">
        <v>128</v>
      </c>
      <c r="R11" s="6" t="s">
        <v>129</v>
      </c>
      <c r="S11" s="6" t="s">
        <v>60</v>
      </c>
      <c r="T11" s="6" t="s">
        <v>75</v>
      </c>
      <c r="U11" s="8"/>
      <c r="V11" s="8"/>
      <c r="W11" s="8"/>
      <c r="X11" s="6" t="s">
        <v>130</v>
      </c>
    </row>
    <row r="12" customFormat="false" ht="23.85" hidden="false" customHeight="false" outlineLevel="0" collapsed="false">
      <c r="A12" s="9" t="s">
        <v>131</v>
      </c>
      <c r="B12" s="9" t="s">
        <v>132</v>
      </c>
      <c r="C12" s="9" t="s">
        <v>133</v>
      </c>
      <c r="D12" s="9" t="s">
        <v>23</v>
      </c>
      <c r="E12" s="9" t="s">
        <v>134</v>
      </c>
      <c r="F12" s="9" t="s">
        <v>135</v>
      </c>
      <c r="G12" s="9" t="s">
        <v>136</v>
      </c>
      <c r="H12" s="9" t="s">
        <v>137</v>
      </c>
      <c r="I12" s="10" t="s">
        <v>138</v>
      </c>
      <c r="J12" s="9" t="s">
        <v>139</v>
      </c>
      <c r="K12" s="9" t="s">
        <v>140</v>
      </c>
      <c r="L12" s="9" t="s">
        <v>141</v>
      </c>
      <c r="M12" s="9" t="s">
        <v>142</v>
      </c>
      <c r="N12" s="9" t="s">
        <v>143</v>
      </c>
      <c r="O12" s="9" t="s">
        <v>144</v>
      </c>
      <c r="P12" s="9" t="s">
        <v>145</v>
      </c>
      <c r="Q12" s="9" t="s">
        <v>146</v>
      </c>
      <c r="R12" s="9" t="s">
        <v>147</v>
      </c>
      <c r="S12" s="9" t="s">
        <v>148</v>
      </c>
      <c r="T12" s="9" t="s">
        <v>149</v>
      </c>
      <c r="U12" s="9" t="s">
        <v>150</v>
      </c>
      <c r="V12" s="9" t="s">
        <v>151</v>
      </c>
      <c r="W12" s="9" t="s">
        <v>152</v>
      </c>
      <c r="X12" s="9" t="s">
        <v>153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3" min="3" style="0" width="28"/>
    <col collapsed="false" customWidth="true" hidden="false" outlineLevel="0" max="4" min="4" style="0" width="52"/>
    <col collapsed="false" customWidth="true" hidden="false" outlineLevel="0" max="7" min="5" style="0" width="14"/>
    <col collapsed="false" customWidth="true" hidden="false" outlineLevel="0" max="8" min="8" style="0" width="30"/>
    <col collapsed="false" customWidth="true" hidden="false" outlineLevel="0" max="9" min="9" style="0" width="36"/>
  </cols>
  <sheetData>
    <row r="1" customFormat="false" ht="17.35" hidden="false" customHeight="false" outlineLevel="0" collapsed="false">
      <c r="A1" s="1" t="s">
        <v>154</v>
      </c>
    </row>
    <row r="2" customFormat="false" ht="15" hidden="false" customHeight="false" outlineLevel="0" collapsed="false">
      <c r="A2" s="2" t="s">
        <v>155</v>
      </c>
    </row>
    <row r="4" customFormat="false" ht="15" hidden="false" customHeight="false" outlineLevel="0" collapsed="false">
      <c r="A4" s="5" t="s">
        <v>156</v>
      </c>
      <c r="B4" s="5" t="s">
        <v>157</v>
      </c>
      <c r="C4" s="5" t="s">
        <v>132</v>
      </c>
      <c r="D4" s="5" t="s">
        <v>158</v>
      </c>
      <c r="E4" s="5" t="s">
        <v>159</v>
      </c>
      <c r="F4" s="5" t="s">
        <v>160</v>
      </c>
      <c r="G4" s="5" t="s">
        <v>161</v>
      </c>
      <c r="H4" s="5" t="s">
        <v>162</v>
      </c>
      <c r="I4" s="5" t="s">
        <v>163</v>
      </c>
    </row>
    <row r="5" customFormat="false" ht="23.85" hidden="false" customHeight="false" outlineLevel="0" collapsed="false">
      <c r="A5" s="6" t="n">
        <v>1</v>
      </c>
      <c r="B5" s="6" t="s">
        <v>164</v>
      </c>
      <c r="C5" s="6" t="s">
        <v>45</v>
      </c>
      <c r="D5" s="6" t="s">
        <v>165</v>
      </c>
      <c r="E5" s="6" t="s">
        <v>166</v>
      </c>
      <c r="F5" s="8"/>
      <c r="G5" s="8"/>
      <c r="H5" s="8"/>
      <c r="I5" s="6"/>
    </row>
    <row r="6" customFormat="false" ht="23.85" hidden="false" customHeight="false" outlineLevel="0" collapsed="false">
      <c r="A6" s="6" t="n">
        <v>2</v>
      </c>
      <c r="B6" s="6" t="s">
        <v>167</v>
      </c>
      <c r="C6" s="6" t="s">
        <v>45</v>
      </c>
      <c r="D6" s="6" t="s">
        <v>168</v>
      </c>
      <c r="E6" s="6" t="s">
        <v>166</v>
      </c>
      <c r="F6" s="8"/>
      <c r="G6" s="8"/>
      <c r="H6" s="8"/>
      <c r="I6" s="6"/>
    </row>
    <row r="7" customFormat="false" ht="15" hidden="false" customHeight="false" outlineLevel="0" collapsed="false">
      <c r="A7" s="6" t="n">
        <v>3</v>
      </c>
      <c r="B7" s="6" t="s">
        <v>169</v>
      </c>
      <c r="C7" s="6" t="s">
        <v>45</v>
      </c>
      <c r="D7" s="6" t="s">
        <v>170</v>
      </c>
      <c r="E7" s="6" t="s">
        <v>166</v>
      </c>
      <c r="F7" s="8"/>
      <c r="G7" s="8"/>
      <c r="H7" s="8"/>
      <c r="I7" s="6"/>
    </row>
    <row r="8" customFormat="false" ht="15" hidden="false" customHeight="false" outlineLevel="0" collapsed="false">
      <c r="A8" s="6" t="n">
        <v>4</v>
      </c>
      <c r="B8" s="6" t="s">
        <v>171</v>
      </c>
      <c r="C8" s="6" t="s">
        <v>45</v>
      </c>
      <c r="D8" s="6" t="s">
        <v>172</v>
      </c>
      <c r="E8" s="6" t="s">
        <v>166</v>
      </c>
      <c r="F8" s="8"/>
      <c r="G8" s="8"/>
      <c r="H8" s="8"/>
      <c r="I8" s="6"/>
    </row>
    <row r="9" customFormat="false" ht="15" hidden="false" customHeight="false" outlineLevel="0" collapsed="false">
      <c r="A9" s="6" t="n">
        <v>5</v>
      </c>
      <c r="B9" s="6" t="s">
        <v>173</v>
      </c>
      <c r="C9" s="6" t="s">
        <v>45</v>
      </c>
      <c r="D9" s="6" t="s">
        <v>174</v>
      </c>
      <c r="E9" s="6" t="s">
        <v>166</v>
      </c>
      <c r="F9" s="8"/>
      <c r="G9" s="8"/>
      <c r="H9" s="8"/>
      <c r="I9" s="6"/>
    </row>
    <row r="10" customFormat="false" ht="15" hidden="false" customHeight="false" outlineLevel="0" collapsed="false">
      <c r="A10" s="6" t="n">
        <v>6</v>
      </c>
      <c r="B10" s="6" t="s">
        <v>175</v>
      </c>
      <c r="C10" s="6" t="s">
        <v>64</v>
      </c>
      <c r="D10" s="6" t="s">
        <v>176</v>
      </c>
      <c r="E10" s="6" t="s">
        <v>166</v>
      </c>
      <c r="F10" s="8"/>
      <c r="G10" s="8"/>
      <c r="H10" s="8"/>
      <c r="I10" s="6"/>
    </row>
    <row r="11" customFormat="false" ht="15" hidden="false" customHeight="false" outlineLevel="0" collapsed="false">
      <c r="A11" s="6" t="n">
        <v>7</v>
      </c>
      <c r="B11" s="6" t="s">
        <v>177</v>
      </c>
      <c r="C11" s="6" t="s">
        <v>64</v>
      </c>
      <c r="D11" s="6" t="s">
        <v>178</v>
      </c>
      <c r="E11" s="6" t="s">
        <v>166</v>
      </c>
      <c r="F11" s="8"/>
      <c r="G11" s="8"/>
      <c r="H11" s="8"/>
      <c r="I11" s="6"/>
    </row>
    <row r="12" customFormat="false" ht="15" hidden="false" customHeight="false" outlineLevel="0" collapsed="false">
      <c r="A12" s="6" t="n">
        <v>8</v>
      </c>
      <c r="B12" s="6" t="s">
        <v>169</v>
      </c>
      <c r="C12" s="6" t="s">
        <v>64</v>
      </c>
      <c r="D12" s="6" t="s">
        <v>179</v>
      </c>
      <c r="E12" s="6" t="s">
        <v>166</v>
      </c>
      <c r="F12" s="8"/>
      <c r="G12" s="8"/>
      <c r="H12" s="8"/>
      <c r="I12" s="6"/>
    </row>
    <row r="13" customFormat="false" ht="15" hidden="false" customHeight="false" outlineLevel="0" collapsed="false">
      <c r="A13" s="6" t="n">
        <v>9</v>
      </c>
      <c r="B13" s="6" t="s">
        <v>171</v>
      </c>
      <c r="C13" s="6" t="s">
        <v>64</v>
      </c>
      <c r="D13" s="6" t="s">
        <v>179</v>
      </c>
      <c r="E13" s="6" t="s">
        <v>166</v>
      </c>
      <c r="F13" s="8"/>
      <c r="G13" s="8"/>
      <c r="H13" s="8"/>
      <c r="I13" s="6"/>
    </row>
    <row r="14" customFormat="false" ht="15" hidden="false" customHeight="false" outlineLevel="0" collapsed="false">
      <c r="A14" s="6" t="n">
        <v>10</v>
      </c>
      <c r="B14" s="6" t="s">
        <v>180</v>
      </c>
      <c r="C14" s="6" t="s">
        <v>90</v>
      </c>
      <c r="D14" s="6" t="s">
        <v>181</v>
      </c>
      <c r="E14" s="6" t="s">
        <v>166</v>
      </c>
      <c r="F14" s="8"/>
      <c r="G14" s="8"/>
      <c r="H14" s="8"/>
      <c r="I14" s="6"/>
    </row>
    <row r="15" customFormat="false" ht="15" hidden="false" customHeight="false" outlineLevel="0" collapsed="false">
      <c r="A15" s="6" t="n">
        <v>11</v>
      </c>
      <c r="B15" s="6" t="s">
        <v>182</v>
      </c>
      <c r="C15" s="6" t="s">
        <v>90</v>
      </c>
      <c r="D15" s="6" t="s">
        <v>103</v>
      </c>
      <c r="E15" s="6" t="s">
        <v>166</v>
      </c>
      <c r="F15" s="8"/>
      <c r="G15" s="8"/>
      <c r="H15" s="8"/>
      <c r="I15" s="6"/>
    </row>
    <row r="16" customFormat="false" ht="15" hidden="false" customHeight="false" outlineLevel="0" collapsed="false">
      <c r="A16" s="6" t="n">
        <v>12</v>
      </c>
      <c r="B16" s="6" t="s">
        <v>169</v>
      </c>
      <c r="C16" s="6" t="s">
        <v>90</v>
      </c>
      <c r="D16" s="6" t="s">
        <v>103</v>
      </c>
      <c r="E16" s="6" t="s">
        <v>166</v>
      </c>
      <c r="F16" s="8"/>
      <c r="G16" s="8"/>
      <c r="H16" s="8"/>
      <c r="I16" s="6"/>
    </row>
    <row r="17" customFormat="false" ht="15" hidden="false" customHeight="false" outlineLevel="0" collapsed="false">
      <c r="A17" s="6" t="n">
        <v>13</v>
      </c>
      <c r="B17" s="6" t="s">
        <v>171</v>
      </c>
      <c r="C17" s="6" t="s">
        <v>90</v>
      </c>
      <c r="D17" s="6" t="s">
        <v>103</v>
      </c>
      <c r="E17" s="6" t="s">
        <v>166</v>
      </c>
      <c r="F17" s="8"/>
      <c r="G17" s="8"/>
      <c r="H17" s="8"/>
      <c r="I17" s="6"/>
    </row>
    <row r="18" customFormat="false" ht="15" hidden="false" customHeight="false" outlineLevel="0" collapsed="false">
      <c r="A18" s="6" t="n">
        <v>14</v>
      </c>
      <c r="B18" s="6" t="s">
        <v>183</v>
      </c>
      <c r="C18" s="6" t="s">
        <v>184</v>
      </c>
      <c r="D18" s="6" t="s">
        <v>185</v>
      </c>
      <c r="E18" s="6" t="s">
        <v>166</v>
      </c>
      <c r="F18" s="8"/>
      <c r="G18" s="8"/>
      <c r="H18" s="8"/>
      <c r="I18" s="6"/>
    </row>
    <row r="19" customFormat="false" ht="15" hidden="false" customHeight="false" outlineLevel="0" collapsed="false">
      <c r="A19" s="6" t="n">
        <v>15</v>
      </c>
      <c r="B19" s="6" t="s">
        <v>186</v>
      </c>
      <c r="C19" s="6" t="s">
        <v>187</v>
      </c>
      <c r="D19" s="6" t="s">
        <v>188</v>
      </c>
      <c r="E19" s="6" t="s">
        <v>166</v>
      </c>
      <c r="F19" s="8"/>
      <c r="G19" s="8"/>
      <c r="H19" s="8"/>
      <c r="I19" s="6"/>
    </row>
    <row r="20" customFormat="false" ht="15" hidden="false" customHeight="false" outlineLevel="0" collapsed="false">
      <c r="A20" s="6" t="n">
        <v>16</v>
      </c>
      <c r="B20" s="6" t="s">
        <v>189</v>
      </c>
      <c r="C20" s="6" t="s">
        <v>190</v>
      </c>
      <c r="D20" s="6" t="s">
        <v>191</v>
      </c>
      <c r="E20" s="6" t="s">
        <v>166</v>
      </c>
      <c r="F20" s="8"/>
      <c r="G20" s="8"/>
      <c r="H20" s="8"/>
      <c r="I20" s="6"/>
    </row>
    <row r="21" customFormat="false" ht="15" hidden="false" customHeight="false" outlineLevel="0" collapsed="false">
      <c r="A21" s="6" t="n">
        <v>17</v>
      </c>
      <c r="B21" s="6" t="s">
        <v>192</v>
      </c>
      <c r="C21" s="6" t="s">
        <v>193</v>
      </c>
      <c r="D21" s="6" t="s">
        <v>194</v>
      </c>
      <c r="E21" s="6" t="s">
        <v>166</v>
      </c>
      <c r="F21" s="8"/>
      <c r="G21" s="8"/>
      <c r="H21" s="8"/>
      <c r="I21" s="6"/>
    </row>
    <row r="22" customFormat="false" ht="23.85" hidden="false" customHeight="false" outlineLevel="0" collapsed="false">
      <c r="A22" s="6" t="n">
        <v>18</v>
      </c>
      <c r="B22" s="6" t="s">
        <v>195</v>
      </c>
      <c r="C22" s="6" t="s">
        <v>196</v>
      </c>
      <c r="D22" s="6" t="s">
        <v>197</v>
      </c>
      <c r="E22" s="6" t="s">
        <v>166</v>
      </c>
      <c r="F22" s="8"/>
      <c r="G22" s="8"/>
      <c r="H22" s="8"/>
      <c r="I22" s="6"/>
    </row>
    <row r="23" customFormat="false" ht="23.85" hidden="false" customHeight="false" outlineLevel="0" collapsed="false">
      <c r="A23" s="6" t="n">
        <v>19</v>
      </c>
      <c r="B23" s="6" t="s">
        <v>198</v>
      </c>
      <c r="C23" s="6" t="s">
        <v>199</v>
      </c>
      <c r="D23" s="6" t="s">
        <v>200</v>
      </c>
      <c r="E23" s="6" t="s">
        <v>166</v>
      </c>
      <c r="F23" s="8"/>
      <c r="G23" s="8"/>
      <c r="H23" s="8"/>
      <c r="I23" s="6"/>
    </row>
    <row r="25" customFormat="false" ht="15" hidden="false" customHeight="false" outlineLevel="0" collapsed="false">
      <c r="B25" s="11" t="s">
        <v>201</v>
      </c>
      <c r="C25" s="12" t="n">
        <f aca="false">COUNTIF(E5:E23,"Received")+COUNTIF(E5:E23,"Verified")</f>
        <v>0</v>
      </c>
    </row>
    <row r="26" customFormat="false" ht="15" hidden="false" customHeight="false" outlineLevel="0" collapsed="false">
      <c r="B26" s="11" t="s">
        <v>202</v>
      </c>
      <c r="C26" s="12" t="n">
        <f aca="false">COUNTA(B5:B23)</f>
        <v>19</v>
      </c>
    </row>
    <row r="27" customFormat="false" ht="15" hidden="false" customHeight="false" outlineLevel="0" collapsed="false">
      <c r="B27" s="11" t="s">
        <v>203</v>
      </c>
      <c r="C27" s="13" t="n">
        <f aca="false">IF(C26=0,0,C25/C26)</f>
        <v>0</v>
      </c>
    </row>
  </sheetData>
  <dataValidations count="1">
    <dataValidation allowBlank="false" errorStyle="stop" operator="between" showDropDown="false" showErrorMessage="false" showInputMessage="false" sqref="E5:E23" type="list">
      <formula1>"Not started,Requested,Received,Verified,Not available"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72"/>
    <col collapsed="false" customWidth="true" hidden="false" outlineLevel="0" max="6" min="4" style="0" width="34"/>
  </cols>
  <sheetData>
    <row r="1" customFormat="false" ht="17.35" hidden="false" customHeight="false" outlineLevel="0" collapsed="false">
      <c r="A1" s="1" t="s">
        <v>204</v>
      </c>
    </row>
    <row r="2" customFormat="false" ht="15" hidden="false" customHeight="false" outlineLevel="0" collapsed="false">
      <c r="A2" s="2" t="s">
        <v>205</v>
      </c>
    </row>
    <row r="4" customFormat="false" ht="15" hidden="false" customHeight="false" outlineLevel="0" collapsed="false">
      <c r="A4" s="5" t="s">
        <v>156</v>
      </c>
      <c r="B4" s="5" t="s">
        <v>206</v>
      </c>
      <c r="C4" s="5" t="s">
        <v>207</v>
      </c>
      <c r="D4" s="5" t="s">
        <v>208</v>
      </c>
      <c r="E4" s="5" t="s">
        <v>209</v>
      </c>
      <c r="F4" s="5" t="s">
        <v>210</v>
      </c>
    </row>
    <row r="5" customFormat="false" ht="23.85" hidden="false" customHeight="false" outlineLevel="0" collapsed="false">
      <c r="A5" s="6" t="n">
        <v>1</v>
      </c>
      <c r="B5" s="6" t="s">
        <v>211</v>
      </c>
      <c r="C5" s="6" t="s">
        <v>212</v>
      </c>
      <c r="D5" s="8"/>
      <c r="E5" s="8"/>
      <c r="F5" s="8"/>
    </row>
    <row r="6" customFormat="false" ht="23.85" hidden="false" customHeight="false" outlineLevel="0" collapsed="false">
      <c r="A6" s="6" t="n">
        <v>2</v>
      </c>
      <c r="B6" s="6" t="s">
        <v>211</v>
      </c>
      <c r="C6" s="6" t="s">
        <v>213</v>
      </c>
      <c r="D6" s="8"/>
      <c r="E6" s="8"/>
      <c r="F6" s="8"/>
    </row>
    <row r="7" customFormat="false" ht="15" hidden="false" customHeight="false" outlineLevel="0" collapsed="false">
      <c r="A7" s="6" t="n">
        <v>3</v>
      </c>
      <c r="B7" s="6" t="s">
        <v>214</v>
      </c>
      <c r="C7" s="6" t="s">
        <v>215</v>
      </c>
      <c r="D7" s="8"/>
      <c r="E7" s="8"/>
      <c r="F7" s="8"/>
    </row>
    <row r="8" customFormat="false" ht="15" hidden="false" customHeight="false" outlineLevel="0" collapsed="false">
      <c r="A8" s="6" t="n">
        <v>4</v>
      </c>
      <c r="B8" s="6" t="s">
        <v>214</v>
      </c>
      <c r="C8" s="6" t="s">
        <v>216</v>
      </c>
      <c r="D8" s="8"/>
      <c r="E8" s="8"/>
      <c r="F8" s="8"/>
    </row>
    <row r="9" customFormat="false" ht="15" hidden="false" customHeight="false" outlineLevel="0" collapsed="false">
      <c r="A9" s="6" t="n">
        <v>5</v>
      </c>
      <c r="B9" s="6" t="s">
        <v>217</v>
      </c>
      <c r="C9" s="6" t="s">
        <v>218</v>
      </c>
      <c r="D9" s="8"/>
      <c r="E9" s="8"/>
      <c r="F9" s="8"/>
    </row>
    <row r="10" customFormat="false" ht="23.85" hidden="false" customHeight="false" outlineLevel="0" collapsed="false">
      <c r="A10" s="6" t="n">
        <v>6</v>
      </c>
      <c r="B10" s="6" t="s">
        <v>217</v>
      </c>
      <c r="C10" s="6" t="s">
        <v>219</v>
      </c>
      <c r="D10" s="8"/>
      <c r="E10" s="8"/>
      <c r="F10" s="8"/>
    </row>
    <row r="11" customFormat="false" ht="23.85" hidden="false" customHeight="false" outlineLevel="0" collapsed="false">
      <c r="A11" s="6" t="n">
        <v>7</v>
      </c>
      <c r="B11" s="6" t="s">
        <v>217</v>
      </c>
      <c r="C11" s="6" t="s">
        <v>220</v>
      </c>
      <c r="D11" s="8"/>
      <c r="E11" s="8"/>
      <c r="F11" s="8"/>
    </row>
    <row r="12" customFormat="false" ht="23.85" hidden="false" customHeight="false" outlineLevel="0" collapsed="false">
      <c r="A12" s="6" t="n">
        <v>8</v>
      </c>
      <c r="B12" s="6" t="s">
        <v>221</v>
      </c>
      <c r="C12" s="6" t="s">
        <v>222</v>
      </c>
      <c r="D12" s="8"/>
      <c r="E12" s="8"/>
      <c r="F12" s="8"/>
    </row>
    <row r="13" customFormat="false" ht="23.85" hidden="false" customHeight="false" outlineLevel="0" collapsed="false">
      <c r="A13" s="6" t="n">
        <v>9</v>
      </c>
      <c r="B13" s="6" t="s">
        <v>221</v>
      </c>
      <c r="C13" s="6" t="s">
        <v>223</v>
      </c>
      <c r="D13" s="8"/>
      <c r="E13" s="8"/>
      <c r="F13" s="8"/>
    </row>
    <row r="14" customFormat="false" ht="15" hidden="false" customHeight="false" outlineLevel="0" collapsed="false">
      <c r="A14" s="6" t="n">
        <v>10</v>
      </c>
      <c r="B14" s="6" t="s">
        <v>224</v>
      </c>
      <c r="C14" s="6" t="s">
        <v>225</v>
      </c>
      <c r="D14" s="8"/>
      <c r="E14" s="8"/>
      <c r="F14" s="8"/>
    </row>
    <row r="15" customFormat="false" ht="15" hidden="false" customHeight="false" outlineLevel="0" collapsed="false">
      <c r="A15" s="6" t="n">
        <v>11</v>
      </c>
      <c r="B15" s="6" t="s">
        <v>224</v>
      </c>
      <c r="C15" s="6" t="s">
        <v>226</v>
      </c>
      <c r="D15" s="8"/>
      <c r="E15" s="8"/>
      <c r="F15" s="8"/>
    </row>
    <row r="16" customFormat="false" ht="15" hidden="false" customHeight="false" outlineLevel="0" collapsed="false">
      <c r="A16" s="6" t="n">
        <v>12</v>
      </c>
      <c r="B16" s="6" t="s">
        <v>227</v>
      </c>
      <c r="C16" s="6" t="s">
        <v>228</v>
      </c>
      <c r="D16" s="8"/>
      <c r="E16" s="8"/>
      <c r="F16" s="8"/>
    </row>
    <row r="17" customFormat="false" ht="15" hidden="false" customHeight="false" outlineLevel="0" collapsed="false">
      <c r="A17" s="6" t="n">
        <v>13</v>
      </c>
      <c r="B17" s="6" t="s">
        <v>227</v>
      </c>
      <c r="C17" s="6" t="s">
        <v>229</v>
      </c>
      <c r="D17" s="8"/>
      <c r="E17" s="8"/>
      <c r="F17" s="8"/>
    </row>
    <row r="18" customFormat="false" ht="23.85" hidden="false" customHeight="false" outlineLevel="0" collapsed="false">
      <c r="A18" s="6" t="n">
        <v>14</v>
      </c>
      <c r="B18" s="6" t="s">
        <v>230</v>
      </c>
      <c r="C18" s="6" t="s">
        <v>231</v>
      </c>
      <c r="D18" s="8"/>
      <c r="E18" s="8"/>
      <c r="F18" s="8"/>
    </row>
    <row r="19" customFormat="false" ht="15" hidden="false" customHeight="false" outlineLevel="0" collapsed="false">
      <c r="A19" s="6" t="n">
        <v>15</v>
      </c>
      <c r="B19" s="6" t="s">
        <v>232</v>
      </c>
      <c r="C19" s="6" t="s">
        <v>233</v>
      </c>
      <c r="D19" s="8"/>
      <c r="E19" s="8"/>
      <c r="F19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3"/>
    <col collapsed="false" customWidth="true" hidden="false" outlineLevel="0" max="4" min="3" style="0" width="58"/>
    <col collapsed="false" customWidth="true" hidden="false" outlineLevel="0" max="5" min="5" style="0" width="38"/>
    <col collapsed="false" customWidth="true" hidden="false" outlineLevel="0" max="6" min="6" style="0" width="14"/>
    <col collapsed="false" customWidth="true" hidden="false" outlineLevel="0" max="7" min="7" style="0" width="28"/>
  </cols>
  <sheetData>
    <row r="1" customFormat="false" ht="17.35" hidden="false" customHeight="false" outlineLevel="0" collapsed="false">
      <c r="A1" s="1" t="s">
        <v>234</v>
      </c>
    </row>
    <row r="2" customFormat="false" ht="15" hidden="false" customHeight="false" outlineLevel="0" collapsed="false">
      <c r="A2" s="2" t="s">
        <v>235</v>
      </c>
    </row>
    <row r="4" customFormat="false" ht="23.85" hidden="false" customHeight="false" outlineLevel="0" collapsed="false">
      <c r="A4" s="5" t="s">
        <v>20</v>
      </c>
      <c r="B4" s="5" t="s">
        <v>236</v>
      </c>
      <c r="C4" s="5" t="s">
        <v>237</v>
      </c>
      <c r="D4" s="5" t="s">
        <v>238</v>
      </c>
      <c r="E4" s="5" t="s">
        <v>239</v>
      </c>
      <c r="F4" s="5" t="s">
        <v>240</v>
      </c>
      <c r="G4" s="5" t="s">
        <v>163</v>
      </c>
    </row>
    <row r="5" customFormat="false" ht="15" hidden="false" customHeight="false" outlineLevel="0" collapsed="false">
      <c r="A5" s="6" t="s">
        <v>241</v>
      </c>
      <c r="B5" s="6" t="s">
        <v>242</v>
      </c>
      <c r="C5" s="6" t="s">
        <v>243</v>
      </c>
      <c r="D5" s="6" t="s">
        <v>244</v>
      </c>
      <c r="E5" s="6" t="s">
        <v>245</v>
      </c>
      <c r="F5" s="8"/>
      <c r="G5" s="6"/>
    </row>
    <row r="6" customFormat="false" ht="15" hidden="false" customHeight="false" outlineLevel="0" collapsed="false">
      <c r="A6" s="6" t="s">
        <v>246</v>
      </c>
      <c r="B6" s="6" t="s">
        <v>242</v>
      </c>
      <c r="C6" s="6" t="s">
        <v>247</v>
      </c>
      <c r="D6" s="6" t="s">
        <v>248</v>
      </c>
      <c r="E6" s="6" t="s">
        <v>249</v>
      </c>
      <c r="F6" s="8"/>
      <c r="G6" s="6"/>
    </row>
    <row r="7" customFormat="false" ht="15" hidden="false" customHeight="false" outlineLevel="0" collapsed="false">
      <c r="A7" s="6" t="s">
        <v>250</v>
      </c>
      <c r="B7" s="6" t="s">
        <v>242</v>
      </c>
      <c r="C7" s="6" t="s">
        <v>251</v>
      </c>
      <c r="D7" s="6" t="s">
        <v>252</v>
      </c>
      <c r="E7" s="6" t="s">
        <v>253</v>
      </c>
      <c r="F7" s="8"/>
      <c r="G7" s="6"/>
    </row>
    <row r="8" customFormat="false" ht="15" hidden="false" customHeight="false" outlineLevel="0" collapsed="false">
      <c r="A8" s="6" t="s">
        <v>254</v>
      </c>
      <c r="B8" s="6" t="s">
        <v>224</v>
      </c>
      <c r="C8" s="6" t="s">
        <v>255</v>
      </c>
      <c r="D8" s="6" t="s">
        <v>256</v>
      </c>
      <c r="E8" s="6" t="s">
        <v>257</v>
      </c>
      <c r="F8" s="8"/>
      <c r="G8" s="6"/>
    </row>
    <row r="9" customFormat="false" ht="15" hidden="false" customHeight="false" outlineLevel="0" collapsed="false">
      <c r="A9" s="6" t="s">
        <v>258</v>
      </c>
      <c r="B9" s="6" t="s">
        <v>224</v>
      </c>
      <c r="C9" s="6" t="s">
        <v>259</v>
      </c>
      <c r="D9" s="6" t="s">
        <v>260</v>
      </c>
      <c r="E9" s="6" t="s">
        <v>261</v>
      </c>
      <c r="F9" s="8"/>
      <c r="G9" s="6"/>
    </row>
    <row r="10" customFormat="false" ht="15" hidden="false" customHeight="false" outlineLevel="0" collapsed="false">
      <c r="A10" s="6" t="s">
        <v>262</v>
      </c>
      <c r="B10" s="6" t="s">
        <v>224</v>
      </c>
      <c r="C10" s="6" t="s">
        <v>263</v>
      </c>
      <c r="D10" s="6" t="s">
        <v>264</v>
      </c>
      <c r="E10" s="6" t="s">
        <v>265</v>
      </c>
      <c r="F10" s="8"/>
      <c r="G10" s="6"/>
    </row>
    <row r="11" customFormat="false" ht="23.85" hidden="false" customHeight="false" outlineLevel="0" collapsed="false">
      <c r="A11" s="6" t="s">
        <v>266</v>
      </c>
      <c r="B11" s="6" t="s">
        <v>224</v>
      </c>
      <c r="C11" s="6" t="s">
        <v>267</v>
      </c>
      <c r="D11" s="6" t="s">
        <v>268</v>
      </c>
      <c r="E11" s="6" t="s">
        <v>269</v>
      </c>
      <c r="F11" s="8"/>
      <c r="G11" s="6"/>
    </row>
    <row r="12" customFormat="false" ht="15" hidden="false" customHeight="false" outlineLevel="0" collapsed="false">
      <c r="A12" s="6" t="s">
        <v>270</v>
      </c>
      <c r="B12" s="6" t="s">
        <v>224</v>
      </c>
      <c r="C12" s="6" t="s">
        <v>271</v>
      </c>
      <c r="D12" s="6" t="s">
        <v>272</v>
      </c>
      <c r="E12" s="6" t="s">
        <v>273</v>
      </c>
      <c r="F12" s="8"/>
      <c r="G12" s="6"/>
    </row>
    <row r="13" customFormat="false" ht="15" hidden="false" customHeight="false" outlineLevel="0" collapsed="false">
      <c r="A13" s="6" t="s">
        <v>274</v>
      </c>
      <c r="B13" s="6" t="s">
        <v>221</v>
      </c>
      <c r="C13" s="6" t="s">
        <v>275</v>
      </c>
      <c r="D13" s="6" t="s">
        <v>276</v>
      </c>
      <c r="E13" s="6" t="s">
        <v>277</v>
      </c>
      <c r="F13" s="8"/>
      <c r="G13" s="6"/>
    </row>
    <row r="14" customFormat="false" ht="15" hidden="false" customHeight="false" outlineLevel="0" collapsed="false">
      <c r="A14" s="6" t="s">
        <v>278</v>
      </c>
      <c r="B14" s="6" t="s">
        <v>221</v>
      </c>
      <c r="C14" s="6" t="s">
        <v>279</v>
      </c>
      <c r="D14" s="6" t="s">
        <v>280</v>
      </c>
      <c r="E14" s="6" t="s">
        <v>281</v>
      </c>
      <c r="F14" s="8"/>
      <c r="G14" s="6"/>
    </row>
    <row r="15" customFormat="false" ht="15" hidden="false" customHeight="false" outlineLevel="0" collapsed="false">
      <c r="A15" s="6" t="s">
        <v>282</v>
      </c>
      <c r="B15" s="6" t="s">
        <v>221</v>
      </c>
      <c r="C15" s="6" t="s">
        <v>283</v>
      </c>
      <c r="D15" s="6" t="s">
        <v>284</v>
      </c>
      <c r="E15" s="6" t="s">
        <v>285</v>
      </c>
      <c r="F15" s="8"/>
      <c r="G15" s="6"/>
    </row>
    <row r="16" customFormat="false" ht="15" hidden="false" customHeight="false" outlineLevel="0" collapsed="false">
      <c r="A16" s="6" t="s">
        <v>286</v>
      </c>
      <c r="B16" s="6" t="s">
        <v>221</v>
      </c>
      <c r="C16" s="6" t="s">
        <v>287</v>
      </c>
      <c r="D16" s="6" t="s">
        <v>288</v>
      </c>
      <c r="E16" s="6" t="s">
        <v>289</v>
      </c>
      <c r="F16" s="8"/>
      <c r="G16" s="6"/>
    </row>
    <row r="17" customFormat="false" ht="15" hidden="false" customHeight="false" outlineLevel="0" collapsed="false">
      <c r="A17" s="6" t="s">
        <v>290</v>
      </c>
      <c r="B17" s="6" t="s">
        <v>227</v>
      </c>
      <c r="C17" s="6" t="s">
        <v>291</v>
      </c>
      <c r="D17" s="6" t="s">
        <v>292</v>
      </c>
      <c r="E17" s="6" t="s">
        <v>293</v>
      </c>
      <c r="F17" s="8"/>
      <c r="G17" s="6"/>
    </row>
    <row r="18" customFormat="false" ht="15" hidden="false" customHeight="false" outlineLevel="0" collapsed="false">
      <c r="A18" s="6" t="s">
        <v>294</v>
      </c>
      <c r="B18" s="6" t="s">
        <v>227</v>
      </c>
      <c r="C18" s="6" t="s">
        <v>295</v>
      </c>
      <c r="D18" s="6" t="s">
        <v>296</v>
      </c>
      <c r="E18" s="6" t="s">
        <v>293</v>
      </c>
      <c r="F18" s="8"/>
      <c r="G18" s="6"/>
    </row>
    <row r="19" customFormat="false" ht="15" hidden="false" customHeight="false" outlineLevel="0" collapsed="false">
      <c r="A19" s="6" t="s">
        <v>297</v>
      </c>
      <c r="B19" s="6" t="s">
        <v>227</v>
      </c>
      <c r="C19" s="6" t="s">
        <v>298</v>
      </c>
      <c r="D19" s="6" t="s">
        <v>299</v>
      </c>
      <c r="E19" s="6" t="s">
        <v>300</v>
      </c>
      <c r="F19" s="8"/>
      <c r="G19" s="6"/>
    </row>
    <row r="20" customFormat="false" ht="15" hidden="false" customHeight="false" outlineLevel="0" collapsed="false">
      <c r="A20" s="6" t="s">
        <v>301</v>
      </c>
      <c r="B20" s="6" t="s">
        <v>302</v>
      </c>
      <c r="C20" s="6" t="s">
        <v>303</v>
      </c>
      <c r="D20" s="6" t="s">
        <v>304</v>
      </c>
      <c r="E20" s="6" t="s">
        <v>305</v>
      </c>
      <c r="F20" s="8"/>
      <c r="G20" s="6"/>
    </row>
    <row r="21" customFormat="false" ht="15" hidden="false" customHeight="false" outlineLevel="0" collapsed="false">
      <c r="A21" s="6" t="s">
        <v>306</v>
      </c>
      <c r="B21" s="6" t="s">
        <v>307</v>
      </c>
      <c r="C21" s="6" t="s">
        <v>308</v>
      </c>
      <c r="D21" s="6" t="s">
        <v>309</v>
      </c>
      <c r="E21" s="6" t="s">
        <v>310</v>
      </c>
      <c r="F21" s="8"/>
      <c r="G21" s="6"/>
    </row>
    <row r="22" customFormat="false" ht="15" hidden="false" customHeight="false" outlineLevel="0" collapsed="false">
      <c r="A22" s="6" t="s">
        <v>311</v>
      </c>
      <c r="B22" s="6" t="s">
        <v>312</v>
      </c>
      <c r="C22" s="6" t="s">
        <v>313</v>
      </c>
      <c r="D22" s="6" t="s">
        <v>314</v>
      </c>
      <c r="E22" s="6" t="s">
        <v>315</v>
      </c>
      <c r="F22" s="8"/>
      <c r="G22" s="6"/>
    </row>
    <row r="23" customFormat="false" ht="15" hidden="false" customHeight="false" outlineLevel="0" collapsed="false">
      <c r="A23" s="6" t="s">
        <v>316</v>
      </c>
      <c r="B23" s="6" t="s">
        <v>317</v>
      </c>
      <c r="C23" s="6" t="s">
        <v>318</v>
      </c>
      <c r="D23" s="6" t="s">
        <v>319</v>
      </c>
      <c r="E23" s="6" t="s">
        <v>35</v>
      </c>
      <c r="F23" s="8"/>
      <c r="G23" s="6"/>
    </row>
    <row r="24" customFormat="false" ht="15" hidden="false" customHeight="false" outlineLevel="0" collapsed="false">
      <c r="A24" s="6" t="s">
        <v>320</v>
      </c>
      <c r="B24" s="6" t="s">
        <v>321</v>
      </c>
      <c r="C24" s="6" t="s">
        <v>322</v>
      </c>
      <c r="D24" s="6" t="s">
        <v>323</v>
      </c>
      <c r="E24" s="6" t="s">
        <v>324</v>
      </c>
      <c r="F24" s="8"/>
      <c r="G24" s="6"/>
    </row>
    <row r="25" customFormat="false" ht="15" hidden="false" customHeight="false" outlineLevel="0" collapsed="false">
      <c r="A25" s="6" t="s">
        <v>325</v>
      </c>
      <c r="B25" s="6" t="s">
        <v>326</v>
      </c>
      <c r="C25" s="6" t="s">
        <v>327</v>
      </c>
      <c r="D25" s="6" t="s">
        <v>328</v>
      </c>
      <c r="E25" s="6" t="s">
        <v>329</v>
      </c>
      <c r="F25" s="8"/>
      <c r="G25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0"/>
    <col collapsed="false" customWidth="true" hidden="false" outlineLevel="0" max="4" min="3" style="0" width="30"/>
    <col collapsed="false" customWidth="true" hidden="false" outlineLevel="0" max="5" min="5" style="0" width="18"/>
    <col collapsed="false" customWidth="true" hidden="false" outlineLevel="0" max="6" min="6" style="0" width="28"/>
    <col collapsed="false" customWidth="true" hidden="false" outlineLevel="0" max="7" min="7" style="0" width="44"/>
  </cols>
  <sheetData>
    <row r="1" customFormat="false" ht="17.35" hidden="false" customHeight="false" outlineLevel="0" collapsed="false">
      <c r="A1" s="1" t="s">
        <v>330</v>
      </c>
    </row>
    <row r="2" customFormat="false" ht="15" hidden="false" customHeight="false" outlineLevel="0" collapsed="false">
      <c r="A2" s="2" t="s">
        <v>331</v>
      </c>
    </row>
    <row r="4" customFormat="false" ht="23.85" hidden="false" customHeight="false" outlineLevel="0" collapsed="false">
      <c r="A4" s="5" t="s">
        <v>332</v>
      </c>
      <c r="B4" s="5" t="s">
        <v>333</v>
      </c>
      <c r="C4" s="5" t="s">
        <v>334</v>
      </c>
      <c r="D4" s="5" t="s">
        <v>335</v>
      </c>
      <c r="E4" s="5" t="s">
        <v>336</v>
      </c>
      <c r="F4" s="5" t="s">
        <v>337</v>
      </c>
      <c r="G4" s="5" t="s">
        <v>338</v>
      </c>
    </row>
    <row r="5" customFormat="false" ht="23.85" hidden="false" customHeight="false" outlineLevel="0" collapsed="false">
      <c r="A5" s="6" t="s">
        <v>339</v>
      </c>
      <c r="B5" s="6" t="s">
        <v>340</v>
      </c>
      <c r="C5" s="6" t="s">
        <v>341</v>
      </c>
      <c r="D5" s="6" t="s">
        <v>342</v>
      </c>
      <c r="E5" s="6" t="s">
        <v>343</v>
      </c>
      <c r="F5" s="6" t="s">
        <v>344</v>
      </c>
      <c r="G5" s="6" t="s">
        <v>345</v>
      </c>
    </row>
    <row r="6" customFormat="false" ht="23.85" hidden="false" customHeight="false" outlineLevel="0" collapsed="false">
      <c r="A6" s="6" t="s">
        <v>346</v>
      </c>
      <c r="B6" s="6" t="s">
        <v>347</v>
      </c>
      <c r="C6" s="6" t="s">
        <v>348</v>
      </c>
      <c r="D6" s="6" t="s">
        <v>105</v>
      </c>
      <c r="E6" s="6" t="s">
        <v>349</v>
      </c>
      <c r="F6" s="6" t="s">
        <v>344</v>
      </c>
      <c r="G6" s="6" t="s">
        <v>350</v>
      </c>
    </row>
    <row r="7" customFormat="false" ht="23.85" hidden="false" customHeight="false" outlineLevel="0" collapsed="false">
      <c r="A7" s="6" t="s">
        <v>351</v>
      </c>
      <c r="B7" s="6" t="s">
        <v>352</v>
      </c>
      <c r="C7" s="6" t="s">
        <v>353</v>
      </c>
      <c r="D7" s="6" t="s">
        <v>354</v>
      </c>
      <c r="E7" s="6" t="s">
        <v>355</v>
      </c>
      <c r="F7" s="6" t="s">
        <v>344</v>
      </c>
      <c r="G7" s="6" t="s">
        <v>356</v>
      </c>
    </row>
    <row r="8" customFormat="false" ht="23.85" hidden="false" customHeight="false" outlineLevel="0" collapsed="false">
      <c r="A8" s="6" t="s">
        <v>357</v>
      </c>
      <c r="B8" s="6" t="s">
        <v>358</v>
      </c>
      <c r="C8" s="6" t="s">
        <v>359</v>
      </c>
      <c r="D8" s="6" t="s">
        <v>360</v>
      </c>
      <c r="E8" s="6" t="s">
        <v>89</v>
      </c>
      <c r="F8" s="6" t="s">
        <v>361</v>
      </c>
      <c r="G8" s="6" t="s">
        <v>362</v>
      </c>
    </row>
    <row r="9" customFormat="false" ht="23.85" hidden="false" customHeight="false" outlineLevel="0" collapsed="false">
      <c r="A9" s="6" t="s">
        <v>363</v>
      </c>
      <c r="B9" s="6" t="s">
        <v>364</v>
      </c>
      <c r="C9" s="6" t="s">
        <v>365</v>
      </c>
      <c r="D9" s="6" t="s">
        <v>360</v>
      </c>
      <c r="E9" s="6" t="s">
        <v>89</v>
      </c>
      <c r="F9" s="6" t="s">
        <v>361</v>
      </c>
      <c r="G9" s="6" t="s">
        <v>366</v>
      </c>
    </row>
    <row r="10" customFormat="false" ht="23.85" hidden="false" customHeight="false" outlineLevel="0" collapsed="false">
      <c r="A10" s="6" t="s">
        <v>367</v>
      </c>
      <c r="B10" s="6" t="s">
        <v>368</v>
      </c>
      <c r="C10" s="6" t="s">
        <v>369</v>
      </c>
      <c r="D10" s="6" t="s">
        <v>370</v>
      </c>
      <c r="E10" s="6" t="s">
        <v>371</v>
      </c>
      <c r="F10" s="6" t="s">
        <v>372</v>
      </c>
      <c r="G10" s="6" t="s">
        <v>373</v>
      </c>
    </row>
    <row r="11" customFormat="false" ht="15" hidden="false" customHeight="false" outlineLevel="0" collapsed="false">
      <c r="A11" s="6" t="s">
        <v>374</v>
      </c>
      <c r="B11" s="6" t="s">
        <v>375</v>
      </c>
      <c r="C11" s="6" t="s">
        <v>376</v>
      </c>
      <c r="D11" s="6" t="s">
        <v>360</v>
      </c>
      <c r="E11" s="6" t="s">
        <v>89</v>
      </c>
      <c r="F11" s="6" t="s">
        <v>377</v>
      </c>
      <c r="G11" s="6" t="s">
        <v>378</v>
      </c>
    </row>
    <row r="12" customFormat="false" ht="23.85" hidden="false" customHeight="false" outlineLevel="0" collapsed="false">
      <c r="A12" s="6" t="s">
        <v>379</v>
      </c>
      <c r="B12" s="6" t="s">
        <v>380</v>
      </c>
      <c r="C12" s="6" t="s">
        <v>381</v>
      </c>
      <c r="D12" s="6" t="s">
        <v>382</v>
      </c>
      <c r="E12" s="6" t="s">
        <v>371</v>
      </c>
      <c r="F12" s="6" t="s">
        <v>383</v>
      </c>
      <c r="G12" s="6" t="s">
        <v>384</v>
      </c>
    </row>
    <row r="13" customFormat="false" ht="23.85" hidden="false" customHeight="false" outlineLevel="0" collapsed="false">
      <c r="A13" s="6" t="s">
        <v>385</v>
      </c>
      <c r="B13" s="6" t="s">
        <v>386</v>
      </c>
      <c r="C13" s="6" t="s">
        <v>387</v>
      </c>
      <c r="D13" s="6" t="s">
        <v>388</v>
      </c>
      <c r="E13" s="6" t="s">
        <v>389</v>
      </c>
      <c r="F13" s="6" t="s">
        <v>390</v>
      </c>
      <c r="G13" s="6" t="s">
        <v>391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4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7" min="5" style="0" width="18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false" outlineLevel="0" max="10" min="10" style="0" width="58"/>
  </cols>
  <sheetData>
    <row r="1" customFormat="false" ht="17.35" hidden="false" customHeight="false" outlineLevel="0" collapsed="false">
      <c r="A1" s="1" t="s">
        <v>392</v>
      </c>
    </row>
    <row r="2" customFormat="false" ht="15" hidden="false" customHeight="false" outlineLevel="0" collapsed="false">
      <c r="A2" s="2" t="s">
        <v>393</v>
      </c>
    </row>
    <row r="4" customFormat="false" ht="15" hidden="false" customHeight="false" outlineLevel="0" collapsed="false">
      <c r="A4" s="11" t="s">
        <v>394</v>
      </c>
      <c r="B4" s="14" t="n">
        <v>150</v>
      </c>
      <c r="C4" s="15" t="s">
        <v>395</v>
      </c>
    </row>
    <row r="6" customFormat="false" ht="23.85" hidden="false" customHeight="false" outlineLevel="0" collapsed="false">
      <c r="A6" s="5" t="s">
        <v>396</v>
      </c>
      <c r="B6" s="5" t="s">
        <v>397</v>
      </c>
      <c r="C6" s="5" t="s">
        <v>28</v>
      </c>
      <c r="D6" s="5" t="s">
        <v>398</v>
      </c>
      <c r="E6" s="5" t="s">
        <v>399</v>
      </c>
      <c r="F6" s="5" t="s">
        <v>400</v>
      </c>
      <c r="G6" s="5" t="s">
        <v>401</v>
      </c>
      <c r="H6" s="5" t="s">
        <v>402</v>
      </c>
      <c r="I6" s="5" t="s">
        <v>403</v>
      </c>
      <c r="J6" s="5" t="s">
        <v>404</v>
      </c>
    </row>
    <row r="7" customFormat="false" ht="15" hidden="false" customHeight="false" outlineLevel="0" collapsed="false">
      <c r="A7" s="16" t="s">
        <v>63</v>
      </c>
      <c r="B7" s="16" t="s">
        <v>405</v>
      </c>
      <c r="C7" s="7" t="n">
        <v>336</v>
      </c>
      <c r="D7" s="7" t="s">
        <v>406</v>
      </c>
      <c r="E7" s="17" t="n">
        <f aca="false">IF(C7="","",IF(D7="Daily",C7*7,IF(D7="Weekly",C7,IF(D7="Monthly",C7*12/52,IF(D7="Annual",C7/52,"")))))</f>
        <v>77.5384615384615</v>
      </c>
      <c r="F7" s="17" t="n">
        <f aca="false">IF(E7="","",E7*52/12)</f>
        <v>336</v>
      </c>
      <c r="G7" s="17" t="n">
        <f aca="false">IF(E7="","",E7*52)</f>
        <v>4032</v>
      </c>
      <c r="H7" s="18" t="n">
        <f aca="false">IF(OR(E7="",$B$4=0),"",E7/$B$4)</f>
        <v>0.516923076923077</v>
      </c>
      <c r="I7" s="6" t="str">
        <f aca="false">IF(E7="","",IF(E7&lt;=$B$4,"Yes","No"))</f>
        <v>Yes</v>
      </c>
      <c r="J7" s="6" t="s">
        <v>407</v>
      </c>
    </row>
    <row r="8" customFormat="false" ht="15" hidden="false" customHeight="false" outlineLevel="0" collapsed="false">
      <c r="A8" s="16" t="s">
        <v>89</v>
      </c>
      <c r="B8" s="16" t="s">
        <v>408</v>
      </c>
      <c r="C8" s="7" t="n">
        <v>3000</v>
      </c>
      <c r="D8" s="7" t="s">
        <v>109</v>
      </c>
      <c r="E8" s="17" t="n">
        <f aca="false">IF(C8="","",IF(D8="Daily",C8*7,IF(D8="Weekly",C8,IF(D8="Monthly",C8*12/52,IF(D8="Annual",C8/52,"")))))</f>
        <v>57.6923076923077</v>
      </c>
      <c r="F8" s="17" t="n">
        <f aca="false">IF(E8="","",E8*52/12)</f>
        <v>250</v>
      </c>
      <c r="G8" s="17" t="n">
        <f aca="false">IF(E8="","",E8*52)</f>
        <v>3000</v>
      </c>
      <c r="H8" s="18" t="n">
        <f aca="false">IF(OR(E8="",$B$4=0),"",E8/$B$4)</f>
        <v>0.384615384615385</v>
      </c>
      <c r="I8" s="6" t="str">
        <f aca="false">IF(E8="","",IF(E8&lt;=$B$4,"Yes","No"))</f>
        <v>Yes</v>
      </c>
      <c r="J8" s="6" t="s">
        <v>409</v>
      </c>
    </row>
    <row r="9" customFormat="false" ht="23.85" hidden="false" customHeight="false" outlineLevel="0" collapsed="false">
      <c r="A9" s="16" t="s">
        <v>44</v>
      </c>
      <c r="B9" s="16" t="s">
        <v>410</v>
      </c>
      <c r="C9" s="7" t="n">
        <v>20</v>
      </c>
      <c r="D9" s="7" t="s">
        <v>411</v>
      </c>
      <c r="E9" s="17" t="n">
        <f aca="false">IF(C9="","",IF(D9="Daily",C9*7,IF(D9="Weekly",C9,IF(D9="Monthly",C9*12/52,IF(D9="Annual",C9/52,"")))))</f>
        <v>140</v>
      </c>
      <c r="F9" s="17" t="n">
        <f aca="false">IF(E9="","",E9*52/12)</f>
        <v>606.666666666667</v>
      </c>
      <c r="G9" s="17" t="n">
        <f aca="false">IF(E9="","",E9*52)</f>
        <v>7280</v>
      </c>
      <c r="H9" s="18" t="n">
        <f aca="false">IF(OR(E9="",$B$4=0),"",E9/$B$4)</f>
        <v>0.933333333333333</v>
      </c>
      <c r="I9" s="6" t="str">
        <f aca="false">IF(E9="","",IF(E9&lt;=$B$4,"Yes","No"))</f>
        <v>Yes</v>
      </c>
      <c r="J9" s="6" t="s">
        <v>412</v>
      </c>
    </row>
    <row r="10" customFormat="false" ht="15" hidden="false" customHeight="false" outlineLevel="0" collapsed="false">
      <c r="A10" s="16" t="s">
        <v>131</v>
      </c>
      <c r="B10" s="16" t="s">
        <v>413</v>
      </c>
      <c r="C10" s="7" t="n">
        <v>100</v>
      </c>
      <c r="D10" s="7" t="s">
        <v>414</v>
      </c>
      <c r="E10" s="17" t="n">
        <f aca="false">IF(C10="","",IF(D10="Daily",C10*7,IF(D10="Weekly",C10,IF(D10="Monthly",C10*12/52,IF(D10="Annual",C10/52,"")))))</f>
        <v>100</v>
      </c>
      <c r="F10" s="17" t="n">
        <f aca="false">IF(E10="","",E10*52/12)</f>
        <v>433.333333333333</v>
      </c>
      <c r="G10" s="17" t="n">
        <f aca="false">IF(E10="","",E10*52)</f>
        <v>5200</v>
      </c>
      <c r="H10" s="18" t="n">
        <f aca="false">IF(OR(E10="",$B$4=0),"",E10/$B$4)</f>
        <v>0.666666666666667</v>
      </c>
      <c r="I10" s="6" t="str">
        <f aca="false">IF(E10="","",IF(E10&lt;=$B$4,"Yes","No"))</f>
        <v>Yes</v>
      </c>
      <c r="J10" s="6" t="s">
        <v>415</v>
      </c>
    </row>
    <row r="13" customFormat="false" ht="15" hidden="false" customHeight="false" outlineLevel="0" collapsed="false">
      <c r="A13" s="15" t="s">
        <v>416</v>
      </c>
    </row>
  </sheetData>
  <dataValidations count="1">
    <dataValidation allowBlank="true" errorStyle="stop" operator="between" showDropDown="false" showErrorMessage="false" showInputMessage="false" sqref="D7:D12" type="list">
      <formula1>"Daily,Weekly,Monthly,Annual"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70"/>
    <col collapsed="false" customWidth="true" hidden="false" outlineLevel="0" max="3" min="3" style="0" width="50"/>
    <col collapsed="false" customWidth="true" hidden="false" outlineLevel="0" max="5" min="4" style="0" width="14"/>
    <col collapsed="false" customWidth="true" hidden="false" outlineLevel="0" max="6" min="6" style="0" width="40"/>
  </cols>
  <sheetData>
    <row r="1" customFormat="false" ht="17.35" hidden="false" customHeight="false" outlineLevel="0" collapsed="false">
      <c r="A1" s="1" t="s">
        <v>417</v>
      </c>
    </row>
    <row r="2" customFormat="false" ht="15" hidden="false" customHeight="false" outlineLevel="0" collapsed="false">
      <c r="A2" s="2" t="s">
        <v>418</v>
      </c>
    </row>
    <row r="4" customFormat="false" ht="15" hidden="false" customHeight="false" outlineLevel="0" collapsed="false">
      <c r="A4" s="5" t="s">
        <v>419</v>
      </c>
      <c r="B4" s="5" t="s">
        <v>420</v>
      </c>
      <c r="C4" s="5" t="s">
        <v>421</v>
      </c>
      <c r="D4" s="5" t="s">
        <v>422</v>
      </c>
      <c r="E4" s="5" t="s">
        <v>159</v>
      </c>
      <c r="F4" s="5" t="s">
        <v>423</v>
      </c>
    </row>
    <row r="5" customFormat="false" ht="23.85" hidden="false" customHeight="false" outlineLevel="0" collapsed="false">
      <c r="A5" s="6" t="s">
        <v>424</v>
      </c>
      <c r="B5" s="6" t="s">
        <v>425</v>
      </c>
      <c r="C5" s="6" t="s">
        <v>426</v>
      </c>
      <c r="D5" s="6" t="s">
        <v>427</v>
      </c>
      <c r="E5" s="6" t="s">
        <v>166</v>
      </c>
      <c r="F5" s="6" t="s">
        <v>428</v>
      </c>
    </row>
    <row r="6" customFormat="false" ht="23.85" hidden="false" customHeight="false" outlineLevel="0" collapsed="false">
      <c r="A6" s="6" t="s">
        <v>429</v>
      </c>
      <c r="B6" s="6" t="s">
        <v>430</v>
      </c>
      <c r="C6" s="6" t="s">
        <v>431</v>
      </c>
      <c r="D6" s="6" t="s">
        <v>427</v>
      </c>
      <c r="E6" s="6" t="s">
        <v>166</v>
      </c>
      <c r="F6" s="6" t="s">
        <v>432</v>
      </c>
    </row>
    <row r="7" customFormat="false" ht="15" hidden="false" customHeight="false" outlineLevel="0" collapsed="false">
      <c r="A7" s="6" t="s">
        <v>433</v>
      </c>
      <c r="B7" s="6" t="s">
        <v>434</v>
      </c>
      <c r="C7" s="6" t="s">
        <v>435</v>
      </c>
      <c r="D7" s="6" t="s">
        <v>427</v>
      </c>
      <c r="E7" s="6" t="s">
        <v>166</v>
      </c>
      <c r="F7" s="6" t="s">
        <v>436</v>
      </c>
    </row>
    <row r="8" customFormat="false" ht="15" hidden="false" customHeight="false" outlineLevel="0" collapsed="false">
      <c r="A8" s="6" t="s">
        <v>437</v>
      </c>
      <c r="B8" s="6" t="s">
        <v>438</v>
      </c>
      <c r="C8" s="6" t="s">
        <v>439</v>
      </c>
      <c r="D8" s="6" t="s">
        <v>427</v>
      </c>
      <c r="E8" s="6" t="s">
        <v>166</v>
      </c>
      <c r="F8" s="6" t="s">
        <v>440</v>
      </c>
    </row>
  </sheetData>
  <dataValidations count="1">
    <dataValidation allowBlank="false" errorStyle="stop" operator="between" showDropDown="false" showErrorMessage="false" showInputMessage="false" sqref="E5:E8" type="list">
      <formula1>"Not started,In progress,Done,Blocked"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90"/>
    <col collapsed="false" customWidth="true" hidden="false" outlineLevel="0" max="3" min="3" style="0" width="40"/>
    <col collapsed="false" customWidth="true" hidden="false" outlineLevel="0" max="4" min="4" style="0" width="20"/>
    <col collapsed="false" customWidth="true" hidden="false" outlineLevel="0" max="5" min="5" style="0" width="32"/>
  </cols>
  <sheetData>
    <row r="1" customFormat="false" ht="17.35" hidden="false" customHeight="false" outlineLevel="0" collapsed="false">
      <c r="A1" s="1" t="s">
        <v>441</v>
      </c>
    </row>
    <row r="2" customFormat="false" ht="15" hidden="false" customHeight="false" outlineLevel="0" collapsed="false">
      <c r="A2" s="2" t="s">
        <v>442</v>
      </c>
    </row>
    <row r="4" customFormat="false" ht="15" hidden="false" customHeight="false" outlineLevel="0" collapsed="false">
      <c r="A4" s="5" t="s">
        <v>443</v>
      </c>
      <c r="B4" s="5" t="s">
        <v>444</v>
      </c>
      <c r="C4" s="5" t="s">
        <v>445</v>
      </c>
      <c r="D4" s="5" t="s">
        <v>446</v>
      </c>
      <c r="E4" s="5" t="s">
        <v>447</v>
      </c>
    </row>
    <row r="5" customFormat="false" ht="15" hidden="false" customHeight="false" outlineLevel="0" collapsed="false">
      <c r="A5" s="6" t="s">
        <v>448</v>
      </c>
      <c r="B5" s="6" t="s">
        <v>58</v>
      </c>
      <c r="C5" s="6" t="s">
        <v>449</v>
      </c>
      <c r="D5" s="6" t="s">
        <v>450</v>
      </c>
      <c r="E5" s="6" t="s">
        <v>451</v>
      </c>
    </row>
    <row r="6" customFormat="false" ht="15" hidden="false" customHeight="false" outlineLevel="0" collapsed="false">
      <c r="A6" s="6" t="s">
        <v>452</v>
      </c>
      <c r="B6" s="6" t="s">
        <v>128</v>
      </c>
      <c r="C6" s="6" t="s">
        <v>453</v>
      </c>
      <c r="D6" s="6" t="s">
        <v>450</v>
      </c>
      <c r="E6" s="6" t="s">
        <v>454</v>
      </c>
    </row>
    <row r="7" customFormat="false" ht="23.85" hidden="false" customHeight="false" outlineLevel="0" collapsed="false">
      <c r="A7" s="6" t="s">
        <v>455</v>
      </c>
      <c r="B7" s="6" t="s">
        <v>456</v>
      </c>
      <c r="C7" s="6" t="s">
        <v>457</v>
      </c>
      <c r="D7" s="6" t="s">
        <v>458</v>
      </c>
      <c r="E7" s="6" t="s">
        <v>459</v>
      </c>
    </row>
    <row r="8" customFormat="false" ht="23.85" hidden="false" customHeight="false" outlineLevel="0" collapsed="false">
      <c r="A8" s="6" t="s">
        <v>460</v>
      </c>
      <c r="B8" s="6" t="s">
        <v>73</v>
      </c>
      <c r="C8" s="6" t="s">
        <v>63</v>
      </c>
      <c r="D8" s="6" t="s">
        <v>450</v>
      </c>
      <c r="E8" s="6" t="s">
        <v>461</v>
      </c>
    </row>
    <row r="9" customFormat="false" ht="23.85" hidden="false" customHeight="false" outlineLevel="0" collapsed="false">
      <c r="A9" s="6" t="s">
        <v>462</v>
      </c>
      <c r="B9" s="6" t="s">
        <v>85</v>
      </c>
      <c r="C9" s="6" t="s">
        <v>77</v>
      </c>
      <c r="D9" s="6" t="s">
        <v>450</v>
      </c>
      <c r="E9" s="6" t="s">
        <v>463</v>
      </c>
    </row>
    <row r="10" customFormat="false" ht="23.85" hidden="false" customHeight="false" outlineLevel="0" collapsed="false">
      <c r="A10" s="6" t="s">
        <v>464</v>
      </c>
      <c r="B10" s="6" t="s">
        <v>99</v>
      </c>
      <c r="C10" s="6" t="s">
        <v>465</v>
      </c>
      <c r="D10" s="6" t="s">
        <v>450</v>
      </c>
      <c r="E10" s="6" t="s">
        <v>466</v>
      </c>
    </row>
    <row r="11" customFormat="false" ht="15" hidden="false" customHeight="false" outlineLevel="0" collapsed="false">
      <c r="A11" s="6" t="s">
        <v>467</v>
      </c>
      <c r="B11" s="6" t="s">
        <v>468</v>
      </c>
      <c r="C11" s="6" t="s">
        <v>469</v>
      </c>
      <c r="D11" s="6" t="s">
        <v>458</v>
      </c>
      <c r="E11" s="6" t="s">
        <v>470</v>
      </c>
    </row>
    <row r="12" customFormat="false" ht="23.85" hidden="false" customHeight="false" outlineLevel="0" collapsed="false">
      <c r="A12" s="6" t="s">
        <v>471</v>
      </c>
      <c r="B12" s="6" t="s">
        <v>472</v>
      </c>
      <c r="C12" s="6" t="s">
        <v>473</v>
      </c>
      <c r="D12" s="6" t="s">
        <v>450</v>
      </c>
      <c r="E12" s="6" t="s">
        <v>474</v>
      </c>
    </row>
    <row r="13" customFormat="false" ht="15" hidden="false" customHeight="false" outlineLevel="0" collapsed="false">
      <c r="A13" s="6" t="s">
        <v>475</v>
      </c>
      <c r="B13" s="6" t="s">
        <v>476</v>
      </c>
      <c r="C13" s="6" t="s">
        <v>477</v>
      </c>
      <c r="D13" s="6" t="s">
        <v>478</v>
      </c>
      <c r="E13" s="6" t="s">
        <v>479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2026-10-20T06:59:48Z</dcterms:created>
  <dc:creator>openpyxl</dc:creator>
  <dc:description/>
  <dc:language>en-US</dc:language>
  <cp:lastModifiedBy/>
  <dcterms:modified xsi:type="dcterms:W3CDTF">2026-10-20T06:59:48Z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